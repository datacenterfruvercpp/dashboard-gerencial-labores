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pacho\Desktop\"/>
    </mc:Choice>
  </mc:AlternateContent>
  <xr:revisionPtr revIDLastSave="0" documentId="8_{A4EED927-ACB6-443B-9BE4-96F1FA331298}" xr6:coauthVersionLast="47" xr6:coauthVersionMax="47" xr10:uidLastSave="{00000000-0000-0000-0000-000000000000}"/>
  <bookViews>
    <workbookView xWindow="-120" yWindow="-120" windowWidth="20730" windowHeight="11760" xr2:uid="{5A01EA28-999F-4A5B-A7B2-EB6F2A30D81A}"/>
  </bookViews>
  <sheets>
    <sheet name="Reporte de labores 2026" sheetId="1" r:id="rId1"/>
  </sheets>
  <definedNames>
    <definedName name="_xlnm._FilterDatabase" localSheetId="0" hidden="1">'Reporte de labores 2026'!$C$4:$Q$458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58" i="1" l="1"/>
  <c r="O458" i="1"/>
  <c r="N458" i="1"/>
  <c r="P457" i="1"/>
  <c r="O457" i="1"/>
  <c r="N457" i="1"/>
  <c r="O456" i="1"/>
  <c r="P456" i="1" s="1"/>
  <c r="N456" i="1"/>
  <c r="N455" i="1"/>
  <c r="O454" i="1"/>
  <c r="N454" i="1"/>
  <c r="P454" i="1" s="1"/>
  <c r="O453" i="1"/>
  <c r="P453" i="1" s="1"/>
  <c r="N453" i="1"/>
  <c r="N452" i="1"/>
  <c r="N451" i="1"/>
  <c r="P450" i="1"/>
  <c r="O450" i="1"/>
  <c r="N450" i="1"/>
  <c r="P449" i="1"/>
  <c r="O449" i="1"/>
  <c r="N449" i="1"/>
  <c r="O448" i="1"/>
  <c r="N448" i="1"/>
  <c r="N447" i="1"/>
  <c r="P446" i="1"/>
  <c r="O446" i="1"/>
  <c r="N446" i="1"/>
  <c r="O445" i="1"/>
  <c r="P445" i="1" s="1"/>
  <c r="N445" i="1"/>
  <c r="O444" i="1"/>
  <c r="N444" i="1"/>
  <c r="N443" i="1"/>
  <c r="P442" i="1"/>
  <c r="O442" i="1"/>
  <c r="N442" i="1"/>
  <c r="O441" i="1"/>
  <c r="P441" i="1" s="1"/>
  <c r="N441" i="1"/>
  <c r="N440" i="1"/>
  <c r="N439" i="1"/>
  <c r="P438" i="1"/>
  <c r="O438" i="1"/>
  <c r="N438" i="1"/>
  <c r="P437" i="1"/>
  <c r="O437" i="1"/>
  <c r="N437" i="1"/>
  <c r="N436" i="1"/>
  <c r="N435" i="1"/>
  <c r="P434" i="1"/>
  <c r="O434" i="1"/>
  <c r="N434" i="1"/>
  <c r="P433" i="1"/>
  <c r="O433" i="1"/>
  <c r="N433" i="1"/>
  <c r="O432" i="1"/>
  <c r="N432" i="1"/>
  <c r="N431" i="1"/>
  <c r="P430" i="1"/>
  <c r="O430" i="1"/>
  <c r="N430" i="1"/>
  <c r="O429" i="1"/>
  <c r="P429" i="1" s="1"/>
  <c r="N429" i="1"/>
  <c r="O428" i="1"/>
  <c r="N428" i="1"/>
  <c r="N427" i="1"/>
  <c r="P426" i="1"/>
  <c r="O426" i="1"/>
  <c r="N426" i="1"/>
  <c r="O425" i="1"/>
  <c r="P425" i="1" s="1"/>
  <c r="N425" i="1"/>
  <c r="N424" i="1"/>
  <c r="N423" i="1"/>
  <c r="P422" i="1"/>
  <c r="O422" i="1"/>
  <c r="N422" i="1"/>
  <c r="P421" i="1"/>
  <c r="O421" i="1"/>
  <c r="N421" i="1"/>
  <c r="N420" i="1"/>
  <c r="N419" i="1"/>
  <c r="P418" i="1"/>
  <c r="O418" i="1"/>
  <c r="N418" i="1"/>
  <c r="P417" i="1"/>
  <c r="O417" i="1"/>
  <c r="N417" i="1"/>
  <c r="O416" i="1"/>
  <c r="N416" i="1"/>
  <c r="N415" i="1"/>
  <c r="P414" i="1"/>
  <c r="O414" i="1"/>
  <c r="N414" i="1"/>
  <c r="O413" i="1"/>
  <c r="P413" i="1" s="1"/>
  <c r="N413" i="1"/>
  <c r="O412" i="1"/>
  <c r="N412" i="1"/>
  <c r="N411" i="1"/>
  <c r="P410" i="1"/>
  <c r="O410" i="1"/>
  <c r="N410" i="1"/>
  <c r="O409" i="1"/>
  <c r="P409" i="1" s="1"/>
  <c r="N409" i="1"/>
  <c r="N408" i="1"/>
  <c r="N407" i="1"/>
  <c r="P406" i="1"/>
  <c r="O406" i="1"/>
  <c r="N406" i="1"/>
  <c r="P405" i="1"/>
  <c r="O405" i="1"/>
  <c r="N405" i="1"/>
  <c r="N404" i="1"/>
  <c r="N403" i="1"/>
  <c r="P402" i="1"/>
  <c r="O402" i="1"/>
  <c r="N402" i="1"/>
  <c r="P401" i="1"/>
  <c r="O401" i="1"/>
  <c r="N401" i="1"/>
  <c r="O400" i="1"/>
  <c r="N400" i="1"/>
  <c r="N399" i="1"/>
  <c r="P398" i="1"/>
  <c r="O398" i="1"/>
  <c r="N398" i="1"/>
  <c r="O397" i="1"/>
  <c r="P397" i="1" s="1"/>
  <c r="N397" i="1"/>
  <c r="O396" i="1"/>
  <c r="N396" i="1"/>
  <c r="N395" i="1"/>
  <c r="P394" i="1"/>
  <c r="O394" i="1"/>
  <c r="N394" i="1"/>
  <c r="O393" i="1"/>
  <c r="P393" i="1" s="1"/>
  <c r="N393" i="1"/>
  <c r="N392" i="1"/>
  <c r="N391" i="1"/>
  <c r="P390" i="1"/>
  <c r="O390" i="1"/>
  <c r="N390" i="1"/>
  <c r="P389" i="1"/>
  <c r="O389" i="1"/>
  <c r="N389" i="1"/>
  <c r="N388" i="1"/>
  <c r="N387" i="1"/>
  <c r="P386" i="1"/>
  <c r="O386" i="1"/>
  <c r="N386" i="1"/>
  <c r="P385" i="1"/>
  <c r="O385" i="1"/>
  <c r="N385" i="1"/>
  <c r="O384" i="1"/>
  <c r="N384" i="1"/>
  <c r="N383" i="1"/>
  <c r="P382" i="1"/>
  <c r="O382" i="1"/>
  <c r="N382" i="1"/>
  <c r="O381" i="1"/>
  <c r="P381" i="1" s="1"/>
  <c r="N381" i="1"/>
  <c r="O380" i="1"/>
  <c r="N380" i="1"/>
  <c r="N379" i="1"/>
  <c r="P378" i="1"/>
  <c r="O378" i="1"/>
  <c r="N378" i="1"/>
  <c r="O377" i="1"/>
  <c r="P377" i="1" s="1"/>
  <c r="N377" i="1"/>
  <c r="N376" i="1"/>
  <c r="N375" i="1"/>
  <c r="P374" i="1"/>
  <c r="O374" i="1"/>
  <c r="N374" i="1"/>
  <c r="P373" i="1"/>
  <c r="O373" i="1"/>
  <c r="N373" i="1"/>
  <c r="N372" i="1"/>
  <c r="N371" i="1"/>
  <c r="P370" i="1"/>
  <c r="O370" i="1"/>
  <c r="N370" i="1"/>
  <c r="P369" i="1"/>
  <c r="O369" i="1"/>
  <c r="N369" i="1"/>
  <c r="O368" i="1"/>
  <c r="N368" i="1"/>
  <c r="N367" i="1"/>
  <c r="P366" i="1"/>
  <c r="O366" i="1"/>
  <c r="N366" i="1"/>
  <c r="O365" i="1"/>
  <c r="P365" i="1" s="1"/>
  <c r="N365" i="1"/>
  <c r="O364" i="1"/>
  <c r="N364" i="1"/>
  <c r="N363" i="1"/>
  <c r="P362" i="1"/>
  <c r="O362" i="1"/>
  <c r="N362" i="1"/>
  <c r="O361" i="1"/>
  <c r="P361" i="1" s="1"/>
  <c r="N361" i="1"/>
  <c r="N360" i="1"/>
  <c r="N359" i="1"/>
  <c r="P358" i="1"/>
  <c r="O358" i="1"/>
  <c r="N358" i="1"/>
  <c r="P357" i="1"/>
  <c r="O357" i="1"/>
  <c r="N357" i="1"/>
  <c r="N356" i="1"/>
  <c r="N355" i="1"/>
  <c r="P354" i="1"/>
  <c r="O354" i="1"/>
  <c r="N354" i="1"/>
  <c r="P353" i="1"/>
  <c r="O353" i="1"/>
  <c r="N353" i="1"/>
  <c r="O352" i="1"/>
  <c r="N352" i="1"/>
  <c r="N351" i="1"/>
  <c r="P350" i="1"/>
  <c r="O350" i="1"/>
  <c r="N350" i="1"/>
  <c r="O349" i="1"/>
  <c r="P349" i="1" s="1"/>
  <c r="N349" i="1"/>
  <c r="O348" i="1"/>
  <c r="N348" i="1"/>
  <c r="N347" i="1"/>
  <c r="P346" i="1"/>
  <c r="O346" i="1"/>
  <c r="N346" i="1"/>
  <c r="O345" i="1"/>
  <c r="P345" i="1" s="1"/>
  <c r="N345" i="1"/>
  <c r="N344" i="1"/>
  <c r="N343" i="1"/>
  <c r="P342" i="1"/>
  <c r="O342" i="1"/>
  <c r="N342" i="1"/>
  <c r="P341" i="1"/>
  <c r="O341" i="1"/>
  <c r="N341" i="1"/>
  <c r="N340" i="1"/>
  <c r="N339" i="1"/>
  <c r="P338" i="1"/>
  <c r="O338" i="1"/>
  <c r="N338" i="1"/>
  <c r="P337" i="1"/>
  <c r="O337" i="1"/>
  <c r="N337" i="1"/>
  <c r="O336" i="1"/>
  <c r="N336" i="1"/>
  <c r="N335" i="1"/>
  <c r="P334" i="1"/>
  <c r="O334" i="1"/>
  <c r="N334" i="1"/>
  <c r="O333" i="1"/>
  <c r="P333" i="1" s="1"/>
  <c r="N333" i="1"/>
  <c r="O332" i="1"/>
  <c r="N332" i="1"/>
  <c r="N331" i="1"/>
  <c r="P330" i="1"/>
  <c r="O330" i="1"/>
  <c r="N330" i="1"/>
  <c r="O329" i="1"/>
  <c r="P329" i="1" s="1"/>
  <c r="N329" i="1"/>
  <c r="N328" i="1"/>
  <c r="N327" i="1"/>
  <c r="P326" i="1"/>
  <c r="O326" i="1"/>
  <c r="N326" i="1"/>
  <c r="P325" i="1"/>
  <c r="O325" i="1"/>
  <c r="N325" i="1"/>
  <c r="N324" i="1"/>
  <c r="N323" i="1"/>
  <c r="P322" i="1"/>
  <c r="O322" i="1"/>
  <c r="N322" i="1"/>
  <c r="P321" i="1"/>
  <c r="O321" i="1"/>
  <c r="N321" i="1"/>
  <c r="O320" i="1"/>
  <c r="N320" i="1"/>
  <c r="N319" i="1"/>
  <c r="P318" i="1"/>
  <c r="O318" i="1"/>
  <c r="N318" i="1"/>
  <c r="O317" i="1"/>
  <c r="P317" i="1" s="1"/>
  <c r="N317" i="1"/>
  <c r="O316" i="1"/>
  <c r="N316" i="1"/>
  <c r="N315" i="1"/>
  <c r="P314" i="1"/>
  <c r="O314" i="1"/>
  <c r="N314" i="1"/>
  <c r="O313" i="1"/>
  <c r="P313" i="1" s="1"/>
  <c r="N313" i="1"/>
  <c r="N312" i="1"/>
  <c r="N311" i="1"/>
  <c r="P310" i="1"/>
  <c r="O310" i="1"/>
  <c r="N310" i="1"/>
  <c r="P309" i="1"/>
  <c r="O309" i="1"/>
  <c r="N309" i="1"/>
  <c r="N308" i="1"/>
  <c r="N307" i="1"/>
  <c r="P306" i="1"/>
  <c r="O306" i="1"/>
  <c r="N306" i="1"/>
  <c r="P305" i="1"/>
  <c r="O305" i="1"/>
  <c r="N305" i="1"/>
  <c r="O304" i="1"/>
  <c r="N304" i="1"/>
  <c r="N303" i="1"/>
  <c r="P302" i="1"/>
  <c r="O302" i="1"/>
  <c r="N302" i="1"/>
  <c r="O301" i="1"/>
  <c r="P301" i="1" s="1"/>
  <c r="N301" i="1"/>
  <c r="O300" i="1"/>
  <c r="N300" i="1"/>
  <c r="N299" i="1"/>
  <c r="P298" i="1"/>
  <c r="O298" i="1"/>
  <c r="N298" i="1"/>
  <c r="O297" i="1"/>
  <c r="P297" i="1" s="1"/>
  <c r="N297" i="1"/>
  <c r="N296" i="1"/>
  <c r="N295" i="1"/>
  <c r="P294" i="1"/>
  <c r="O294" i="1"/>
  <c r="N294" i="1"/>
  <c r="P293" i="1"/>
  <c r="O293" i="1"/>
  <c r="N293" i="1"/>
  <c r="N292" i="1"/>
  <c r="P291" i="1"/>
  <c r="N291" i="1"/>
  <c r="O291" i="1" s="1"/>
  <c r="O290" i="1"/>
  <c r="P290" i="1" s="1"/>
  <c r="N290" i="1"/>
  <c r="N289" i="1"/>
  <c r="O288" i="1"/>
  <c r="N288" i="1"/>
  <c r="O287" i="1"/>
  <c r="P287" i="1" s="1"/>
  <c r="N287" i="1"/>
  <c r="N286" i="1"/>
  <c r="N285" i="1"/>
  <c r="P284" i="1"/>
  <c r="O284" i="1"/>
  <c r="N284" i="1"/>
  <c r="O283" i="1"/>
  <c r="P283" i="1" s="1"/>
  <c r="N283" i="1"/>
  <c r="N282" i="1"/>
  <c r="N281" i="1"/>
  <c r="P280" i="1"/>
  <c r="O280" i="1"/>
  <c r="N280" i="1"/>
  <c r="O279" i="1"/>
  <c r="P279" i="1" s="1"/>
  <c r="N279" i="1"/>
  <c r="N278" i="1"/>
  <c r="N277" i="1"/>
  <c r="P276" i="1"/>
  <c r="O276" i="1"/>
  <c r="N276" i="1"/>
  <c r="O275" i="1"/>
  <c r="P275" i="1" s="1"/>
  <c r="N275" i="1"/>
  <c r="N274" i="1"/>
  <c r="N273" i="1"/>
  <c r="P272" i="1"/>
  <c r="O272" i="1"/>
  <c r="N272" i="1"/>
  <c r="O271" i="1"/>
  <c r="P271" i="1" s="1"/>
  <c r="N271" i="1"/>
  <c r="N270" i="1"/>
  <c r="N269" i="1"/>
  <c r="P268" i="1"/>
  <c r="O268" i="1"/>
  <c r="N268" i="1"/>
  <c r="O267" i="1"/>
  <c r="P267" i="1" s="1"/>
  <c r="N267" i="1"/>
  <c r="N266" i="1"/>
  <c r="N265" i="1"/>
  <c r="P264" i="1"/>
  <c r="O264" i="1"/>
  <c r="N264" i="1"/>
  <c r="O263" i="1"/>
  <c r="P263" i="1" s="1"/>
  <c r="N263" i="1"/>
  <c r="O262" i="1"/>
  <c r="N262" i="1"/>
  <c r="N261" i="1"/>
  <c r="P260" i="1"/>
  <c r="O260" i="1"/>
  <c r="N260" i="1"/>
  <c r="O259" i="1"/>
  <c r="P259" i="1" s="1"/>
  <c r="N259" i="1"/>
  <c r="N258" i="1"/>
  <c r="N257" i="1"/>
  <c r="P256" i="1"/>
  <c r="O256" i="1"/>
  <c r="N256" i="1"/>
  <c r="O255" i="1"/>
  <c r="P255" i="1" s="1"/>
  <c r="N255" i="1"/>
  <c r="O254" i="1"/>
  <c r="N254" i="1"/>
  <c r="N253" i="1"/>
  <c r="P252" i="1"/>
  <c r="O252" i="1"/>
  <c r="N252" i="1"/>
  <c r="P251" i="1"/>
  <c r="O251" i="1"/>
  <c r="N251" i="1"/>
  <c r="N250" i="1"/>
  <c r="O250" i="1" s="1"/>
  <c r="N249" i="1"/>
  <c r="P248" i="1"/>
  <c r="O248" i="1"/>
  <c r="N248" i="1"/>
  <c r="O247" i="1"/>
  <c r="P247" i="1" s="1"/>
  <c r="N247" i="1"/>
  <c r="O246" i="1"/>
  <c r="N246" i="1"/>
  <c r="N245" i="1"/>
  <c r="P244" i="1"/>
  <c r="O244" i="1"/>
  <c r="N244" i="1"/>
  <c r="P243" i="1"/>
  <c r="O243" i="1"/>
  <c r="N243" i="1"/>
  <c r="N242" i="1"/>
  <c r="N241" i="1"/>
  <c r="P240" i="1"/>
  <c r="O240" i="1"/>
  <c r="N240" i="1"/>
  <c r="P239" i="1"/>
  <c r="O239" i="1"/>
  <c r="N239" i="1"/>
  <c r="N238" i="1"/>
  <c r="N237" i="1"/>
  <c r="P236" i="1"/>
  <c r="O236" i="1"/>
  <c r="N236" i="1"/>
  <c r="P235" i="1"/>
  <c r="O235" i="1"/>
  <c r="N235" i="1"/>
  <c r="O234" i="1"/>
  <c r="N234" i="1"/>
  <c r="N233" i="1"/>
  <c r="P232" i="1"/>
  <c r="O232" i="1"/>
  <c r="N232" i="1"/>
  <c r="O231" i="1"/>
  <c r="P231" i="1" s="1"/>
  <c r="N231" i="1"/>
  <c r="O230" i="1"/>
  <c r="N230" i="1"/>
  <c r="N229" i="1"/>
  <c r="O228" i="1"/>
  <c r="P228" i="1" s="1"/>
  <c r="N228" i="1"/>
  <c r="N227" i="1"/>
  <c r="O227" i="1" s="1"/>
  <c r="N226" i="1"/>
  <c r="N225" i="1"/>
  <c r="O225" i="1" s="1"/>
  <c r="O224" i="1"/>
  <c r="P224" i="1" s="1"/>
  <c r="N224" i="1"/>
  <c r="N223" i="1"/>
  <c r="O223" i="1" s="1"/>
  <c r="O222" i="1"/>
  <c r="N222" i="1"/>
  <c r="N221" i="1"/>
  <c r="O220" i="1"/>
  <c r="P220" i="1" s="1"/>
  <c r="N220" i="1"/>
  <c r="N219" i="1"/>
  <c r="O219" i="1" s="1"/>
  <c r="N218" i="1"/>
  <c r="N217" i="1"/>
  <c r="O217" i="1" s="1"/>
  <c r="O216" i="1"/>
  <c r="P216" i="1" s="1"/>
  <c r="N216" i="1"/>
  <c r="N215" i="1"/>
  <c r="O215" i="1" s="1"/>
  <c r="O214" i="1"/>
  <c r="N214" i="1"/>
  <c r="N213" i="1"/>
  <c r="O212" i="1"/>
  <c r="P212" i="1" s="1"/>
  <c r="N212" i="1"/>
  <c r="N211" i="1"/>
  <c r="O211" i="1" s="1"/>
  <c r="N210" i="1"/>
  <c r="N209" i="1"/>
  <c r="O209" i="1" s="1"/>
  <c r="O208" i="1"/>
  <c r="P208" i="1" s="1"/>
  <c r="N208" i="1"/>
  <c r="N207" i="1"/>
  <c r="O207" i="1" s="1"/>
  <c r="O206" i="1"/>
  <c r="N206" i="1"/>
  <c r="N205" i="1"/>
  <c r="O204" i="1"/>
  <c r="P204" i="1" s="1"/>
  <c r="N204" i="1"/>
  <c r="N203" i="1"/>
  <c r="O203" i="1" s="1"/>
  <c r="N202" i="1"/>
  <c r="N201" i="1"/>
  <c r="O201" i="1" s="1"/>
  <c r="O200" i="1"/>
  <c r="P200" i="1" s="1"/>
  <c r="N200" i="1"/>
  <c r="N199" i="1"/>
  <c r="O199" i="1" s="1"/>
  <c r="O198" i="1"/>
  <c r="N198" i="1"/>
  <c r="N197" i="1"/>
  <c r="O196" i="1"/>
  <c r="P196" i="1" s="1"/>
  <c r="N196" i="1"/>
  <c r="N195" i="1"/>
  <c r="O195" i="1" s="1"/>
  <c r="N194" i="1"/>
  <c r="N193" i="1"/>
  <c r="O193" i="1" s="1"/>
  <c r="O192" i="1"/>
  <c r="P192" i="1" s="1"/>
  <c r="N192" i="1"/>
  <c r="N191" i="1"/>
  <c r="O191" i="1" s="1"/>
  <c r="O190" i="1"/>
  <c r="N190" i="1"/>
  <c r="N189" i="1"/>
  <c r="O188" i="1"/>
  <c r="P188" i="1" s="1"/>
  <c r="N188" i="1"/>
  <c r="N187" i="1"/>
  <c r="O187" i="1" s="1"/>
  <c r="O186" i="1"/>
  <c r="N186" i="1"/>
  <c r="N185" i="1"/>
  <c r="O185" i="1" s="1"/>
  <c r="P184" i="1"/>
  <c r="O184" i="1"/>
  <c r="N184" i="1"/>
  <c r="P183" i="1"/>
  <c r="O183" i="1"/>
  <c r="N183" i="1"/>
  <c r="N182" i="1"/>
  <c r="P181" i="1"/>
  <c r="N181" i="1"/>
  <c r="O181" i="1" s="1"/>
  <c r="O180" i="1"/>
  <c r="P180" i="1" s="1"/>
  <c r="N180" i="1"/>
  <c r="N179" i="1"/>
  <c r="O179" i="1" s="1"/>
  <c r="O178" i="1"/>
  <c r="N178" i="1"/>
  <c r="N177" i="1"/>
  <c r="O177" i="1" s="1"/>
  <c r="P176" i="1"/>
  <c r="O176" i="1"/>
  <c r="N176" i="1"/>
  <c r="P175" i="1"/>
  <c r="O175" i="1"/>
  <c r="N175" i="1"/>
  <c r="N174" i="1"/>
  <c r="P173" i="1"/>
  <c r="N173" i="1"/>
  <c r="O173" i="1" s="1"/>
  <c r="O172" i="1"/>
  <c r="P172" i="1" s="1"/>
  <c r="N172" i="1"/>
  <c r="N171" i="1"/>
  <c r="O171" i="1" s="1"/>
  <c r="O170" i="1"/>
  <c r="N170" i="1"/>
  <c r="N169" i="1"/>
  <c r="O169" i="1" s="1"/>
  <c r="P168" i="1"/>
  <c r="O168" i="1"/>
  <c r="N168" i="1"/>
  <c r="P167" i="1"/>
  <c r="O167" i="1"/>
  <c r="N167" i="1"/>
  <c r="N166" i="1"/>
  <c r="P165" i="1"/>
  <c r="N165" i="1"/>
  <c r="O165" i="1" s="1"/>
  <c r="O164" i="1"/>
  <c r="P164" i="1" s="1"/>
  <c r="N164" i="1"/>
  <c r="N163" i="1"/>
  <c r="O163" i="1" s="1"/>
  <c r="O162" i="1"/>
  <c r="N162" i="1"/>
  <c r="N161" i="1"/>
  <c r="O161" i="1" s="1"/>
  <c r="P160" i="1"/>
  <c r="O160" i="1"/>
  <c r="N160" i="1"/>
  <c r="P159" i="1"/>
  <c r="O159" i="1"/>
  <c r="N159" i="1"/>
  <c r="N158" i="1"/>
  <c r="P157" i="1"/>
  <c r="N157" i="1"/>
  <c r="O157" i="1" s="1"/>
  <c r="O156" i="1"/>
  <c r="P156" i="1" s="1"/>
  <c r="N156" i="1"/>
  <c r="N155" i="1"/>
  <c r="O155" i="1" s="1"/>
  <c r="O154" i="1"/>
  <c r="N154" i="1"/>
  <c r="N153" i="1"/>
  <c r="O153" i="1" s="1"/>
  <c r="P152" i="1"/>
  <c r="O152" i="1"/>
  <c r="N152" i="1"/>
  <c r="P151" i="1"/>
  <c r="O151" i="1"/>
  <c r="N151" i="1"/>
  <c r="N150" i="1"/>
  <c r="P149" i="1"/>
  <c r="N149" i="1"/>
  <c r="O149" i="1" s="1"/>
  <c r="O148" i="1"/>
  <c r="P148" i="1" s="1"/>
  <c r="N148" i="1"/>
  <c r="N147" i="1"/>
  <c r="O147" i="1" s="1"/>
  <c r="O146" i="1"/>
  <c r="N146" i="1"/>
  <c r="N145" i="1"/>
  <c r="O145" i="1" s="1"/>
  <c r="P144" i="1"/>
  <c r="O144" i="1"/>
  <c r="N144" i="1"/>
  <c r="P143" i="1"/>
  <c r="O143" i="1"/>
  <c r="N143" i="1"/>
  <c r="N142" i="1"/>
  <c r="P141" i="1"/>
  <c r="N141" i="1"/>
  <c r="O141" i="1" s="1"/>
  <c r="O140" i="1"/>
  <c r="P140" i="1" s="1"/>
  <c r="N140" i="1"/>
  <c r="N139" i="1"/>
  <c r="O139" i="1" s="1"/>
  <c r="O138" i="1"/>
  <c r="N138" i="1"/>
  <c r="N137" i="1"/>
  <c r="O137" i="1" s="1"/>
  <c r="P136" i="1"/>
  <c r="O136" i="1"/>
  <c r="N136" i="1"/>
  <c r="P135" i="1"/>
  <c r="O135" i="1"/>
  <c r="N135" i="1"/>
  <c r="N134" i="1"/>
  <c r="P133" i="1"/>
  <c r="N133" i="1"/>
  <c r="O133" i="1" s="1"/>
  <c r="O132" i="1"/>
  <c r="P132" i="1" s="1"/>
  <c r="N132" i="1"/>
  <c r="N131" i="1"/>
  <c r="O131" i="1" s="1"/>
  <c r="O130" i="1"/>
  <c r="N130" i="1"/>
  <c r="N129" i="1"/>
  <c r="O129" i="1" s="1"/>
  <c r="P128" i="1"/>
  <c r="O128" i="1"/>
  <c r="N12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P101" i="1"/>
  <c r="O101" i="1"/>
  <c r="N101" i="1"/>
  <c r="N100" i="1"/>
  <c r="P99" i="1"/>
  <c r="N99" i="1"/>
  <c r="O99" i="1" s="1"/>
  <c r="O98" i="1"/>
  <c r="P98" i="1" s="1"/>
  <c r="N98" i="1"/>
  <c r="N97" i="1"/>
  <c r="O97" i="1" s="1"/>
  <c r="O96" i="1"/>
  <c r="N96" i="1"/>
  <c r="N95" i="1"/>
  <c r="O95" i="1" s="1"/>
  <c r="P94" i="1"/>
  <c r="O94" i="1"/>
  <c r="N94" i="1"/>
  <c r="P93" i="1"/>
  <c r="O93" i="1"/>
  <c r="N93" i="1"/>
  <c r="N92" i="1"/>
  <c r="O92" i="1" s="1"/>
  <c r="P91" i="1"/>
  <c r="N91" i="1"/>
  <c r="O91" i="1" s="1"/>
  <c r="O90" i="1"/>
  <c r="P90" i="1" s="1"/>
  <c r="N90" i="1"/>
  <c r="N89" i="1"/>
  <c r="O88" i="1"/>
  <c r="N88" i="1"/>
  <c r="N87" i="1"/>
  <c r="O87" i="1" s="1"/>
  <c r="P86" i="1"/>
  <c r="O86" i="1"/>
  <c r="N86" i="1"/>
  <c r="P85" i="1"/>
  <c r="O85" i="1"/>
  <c r="N85" i="1"/>
  <c r="N84" i="1"/>
  <c r="O84" i="1" s="1"/>
  <c r="P83" i="1"/>
  <c r="N83" i="1"/>
  <c r="O83" i="1" s="1"/>
  <c r="O82" i="1"/>
  <c r="P82" i="1" s="1"/>
  <c r="N82" i="1"/>
  <c r="N81" i="1"/>
  <c r="O80" i="1"/>
  <c r="N80" i="1"/>
  <c r="N79" i="1"/>
  <c r="O79" i="1" s="1"/>
  <c r="P78" i="1"/>
  <c r="O78" i="1"/>
  <c r="N78" i="1"/>
  <c r="P77" i="1"/>
  <c r="O77" i="1"/>
  <c r="N77" i="1"/>
  <c r="N76" i="1"/>
  <c r="O76" i="1" s="1"/>
  <c r="P75" i="1"/>
  <c r="N75" i="1"/>
  <c r="O75" i="1" s="1"/>
  <c r="O74" i="1"/>
  <c r="P74" i="1" s="1"/>
  <c r="N74" i="1"/>
  <c r="N73" i="1"/>
  <c r="O73" i="1" s="1"/>
  <c r="O72" i="1"/>
  <c r="N72" i="1"/>
  <c r="N71" i="1"/>
  <c r="O71" i="1" s="1"/>
  <c r="P70" i="1"/>
  <c r="O70" i="1"/>
  <c r="N70" i="1"/>
  <c r="P69" i="1"/>
  <c r="O69" i="1"/>
  <c r="N69" i="1"/>
  <c r="N68" i="1"/>
  <c r="O68" i="1" s="1"/>
  <c r="P67" i="1"/>
  <c r="N67" i="1"/>
  <c r="O67" i="1" s="1"/>
  <c r="O66" i="1"/>
  <c r="P66" i="1" s="1"/>
  <c r="N66" i="1"/>
  <c r="N65" i="1"/>
  <c r="O64" i="1"/>
  <c r="N64" i="1"/>
  <c r="N63" i="1"/>
  <c r="O63" i="1" s="1"/>
  <c r="P62" i="1"/>
  <c r="O62" i="1"/>
  <c r="N62" i="1"/>
  <c r="P61" i="1"/>
  <c r="O61" i="1"/>
  <c r="N61" i="1"/>
  <c r="N60" i="1"/>
  <c r="P59" i="1"/>
  <c r="N59" i="1"/>
  <c r="O59" i="1" s="1"/>
  <c r="O58" i="1"/>
  <c r="P58" i="1" s="1"/>
  <c r="N58" i="1"/>
  <c r="N57" i="1"/>
  <c r="O56" i="1"/>
  <c r="N56" i="1"/>
  <c r="N55" i="1"/>
  <c r="O55" i="1" s="1"/>
  <c r="N54" i="1"/>
  <c r="O54" i="1" s="1"/>
  <c r="P54" i="1" s="1"/>
  <c r="P53" i="1"/>
  <c r="O53" i="1"/>
  <c r="N53" i="1"/>
  <c r="O52" i="1"/>
  <c r="N52" i="1"/>
  <c r="P52" i="1" s="1"/>
  <c r="N51" i="1"/>
  <c r="N50" i="1"/>
  <c r="O50" i="1" s="1"/>
  <c r="P50" i="1" s="1"/>
  <c r="P49" i="1"/>
  <c r="O49" i="1"/>
  <c r="N49" i="1"/>
  <c r="O48" i="1"/>
  <c r="N48" i="1"/>
  <c r="P48" i="1" s="1"/>
  <c r="N47" i="1"/>
  <c r="N46" i="1"/>
  <c r="O46" i="1" s="1"/>
  <c r="P46" i="1" s="1"/>
  <c r="P45" i="1"/>
  <c r="O45" i="1"/>
  <c r="N45" i="1"/>
  <c r="O44" i="1"/>
  <c r="N44" i="1"/>
  <c r="P44" i="1" s="1"/>
  <c r="N43" i="1"/>
  <c r="N42" i="1"/>
  <c r="O42" i="1" s="1"/>
  <c r="P42" i="1" s="1"/>
  <c r="P41" i="1"/>
  <c r="O41" i="1"/>
  <c r="N41" i="1"/>
  <c r="O40" i="1"/>
  <c r="P40" i="1" s="1"/>
  <c r="N40" i="1"/>
  <c r="N39" i="1"/>
  <c r="O39" i="1" s="1"/>
  <c r="P39" i="1" s="1"/>
  <c r="N38" i="1"/>
  <c r="O38" i="1" s="1"/>
  <c r="P38" i="1" s="1"/>
  <c r="P37" i="1"/>
  <c r="O37" i="1"/>
  <c r="N37" i="1"/>
  <c r="O36" i="1"/>
  <c r="P36" i="1" s="1"/>
  <c r="N36" i="1"/>
  <c r="N35" i="1"/>
  <c r="O35" i="1" s="1"/>
  <c r="P35" i="1" s="1"/>
  <c r="N34" i="1"/>
  <c r="O34" i="1" s="1"/>
  <c r="P34" i="1" s="1"/>
  <c r="P33" i="1"/>
  <c r="O33" i="1"/>
  <c r="N33" i="1"/>
  <c r="O32" i="1"/>
  <c r="P32" i="1" s="1"/>
  <c r="N32" i="1"/>
  <c r="N31" i="1"/>
  <c r="O31" i="1" s="1"/>
  <c r="P31" i="1" s="1"/>
  <c r="N30" i="1"/>
  <c r="O30" i="1" s="1"/>
  <c r="P30" i="1" s="1"/>
  <c r="P29" i="1"/>
  <c r="O29" i="1"/>
  <c r="N29" i="1"/>
  <c r="O28" i="1"/>
  <c r="P28" i="1" s="1"/>
  <c r="N28" i="1"/>
  <c r="N27" i="1"/>
  <c r="O27" i="1" s="1"/>
  <c r="P27" i="1" s="1"/>
  <c r="N26" i="1"/>
  <c r="O26" i="1" s="1"/>
  <c r="P26" i="1" s="1"/>
  <c r="P25" i="1"/>
  <c r="O25" i="1"/>
  <c r="N25" i="1"/>
  <c r="O24" i="1"/>
  <c r="P24" i="1" s="1"/>
  <c r="N24" i="1"/>
  <c r="N23" i="1"/>
  <c r="O23" i="1" s="1"/>
  <c r="P23" i="1" s="1"/>
  <c r="N22" i="1"/>
  <c r="O22" i="1" s="1"/>
  <c r="P22" i="1" s="1"/>
  <c r="P21" i="1"/>
  <c r="O21" i="1"/>
  <c r="N21" i="1"/>
  <c r="O20" i="1"/>
  <c r="P20" i="1" s="1"/>
  <c r="N20" i="1"/>
  <c r="N19" i="1"/>
  <c r="O19" i="1" s="1"/>
  <c r="P19" i="1" s="1"/>
  <c r="N18" i="1"/>
  <c r="O18" i="1" s="1"/>
  <c r="P18" i="1" s="1"/>
  <c r="P17" i="1"/>
  <c r="O17" i="1"/>
  <c r="N17" i="1"/>
  <c r="O16" i="1"/>
  <c r="P16" i="1" s="1"/>
  <c r="N16" i="1"/>
  <c r="N15" i="1"/>
  <c r="O15" i="1" s="1"/>
  <c r="P15" i="1" s="1"/>
  <c r="N14" i="1"/>
  <c r="O14" i="1" s="1"/>
  <c r="P14" i="1" s="1"/>
  <c r="P13" i="1"/>
  <c r="O13" i="1"/>
  <c r="N13" i="1"/>
  <c r="O12" i="1"/>
  <c r="P12" i="1" s="1"/>
  <c r="N12" i="1"/>
  <c r="N11" i="1"/>
  <c r="O11" i="1" s="1"/>
  <c r="P11" i="1" s="1"/>
  <c r="N10" i="1"/>
  <c r="O10" i="1" s="1"/>
  <c r="P10" i="1" s="1"/>
  <c r="P9" i="1"/>
  <c r="O9" i="1"/>
  <c r="N9" i="1"/>
  <c r="O8" i="1"/>
  <c r="P8" i="1" s="1"/>
  <c r="N8" i="1"/>
  <c r="N7" i="1"/>
  <c r="O7" i="1" s="1"/>
  <c r="P7" i="1" s="1"/>
  <c r="N6" i="1"/>
  <c r="O6" i="1" s="1"/>
  <c r="P6" i="1" s="1"/>
  <c r="P5" i="1"/>
  <c r="O5" i="1"/>
  <c r="N5" i="1"/>
  <c r="P47" i="1" l="1"/>
  <c r="P89" i="1"/>
  <c r="O43" i="1"/>
  <c r="P43" i="1" s="1"/>
  <c r="O47" i="1"/>
  <c r="O51" i="1"/>
  <c r="P51" i="1" s="1"/>
  <c r="O57" i="1"/>
  <c r="P57" i="1" s="1"/>
  <c r="P63" i="1"/>
  <c r="O65" i="1"/>
  <c r="P65" i="1" s="1"/>
  <c r="P71" i="1"/>
  <c r="O81" i="1"/>
  <c r="P81" i="1" s="1"/>
  <c r="O89" i="1"/>
  <c r="P56" i="1"/>
  <c r="P64" i="1"/>
  <c r="P72" i="1"/>
  <c r="P73" i="1"/>
  <c r="P80" i="1"/>
  <c r="P88" i="1"/>
  <c r="P96" i="1"/>
  <c r="P97" i="1"/>
  <c r="P130" i="1"/>
  <c r="P131" i="1"/>
  <c r="P138" i="1"/>
  <c r="P139" i="1"/>
  <c r="P146" i="1"/>
  <c r="P147" i="1"/>
  <c r="P154" i="1"/>
  <c r="P155" i="1"/>
  <c r="P162" i="1"/>
  <c r="P163" i="1"/>
  <c r="P170" i="1"/>
  <c r="P171" i="1"/>
  <c r="P178" i="1"/>
  <c r="P179" i="1"/>
  <c r="P186" i="1"/>
  <c r="P187" i="1"/>
  <c r="O189" i="1"/>
  <c r="P189" i="1"/>
  <c r="P191" i="1"/>
  <c r="P193" i="1"/>
  <c r="P195" i="1"/>
  <c r="O197" i="1"/>
  <c r="P197" i="1" s="1"/>
  <c r="P199" i="1"/>
  <c r="P201" i="1"/>
  <c r="P203" i="1"/>
  <c r="O205" i="1"/>
  <c r="P205" i="1" s="1"/>
  <c r="P207" i="1"/>
  <c r="P209" i="1"/>
  <c r="P211" i="1"/>
  <c r="O213" i="1"/>
  <c r="P213" i="1"/>
  <c r="P215" i="1"/>
  <c r="P217" i="1"/>
  <c r="P219" i="1"/>
  <c r="O221" i="1"/>
  <c r="P221" i="1"/>
  <c r="P223" i="1"/>
  <c r="P225" i="1"/>
  <c r="P227" i="1"/>
  <c r="P229" i="1"/>
  <c r="O229" i="1"/>
  <c r="P254" i="1"/>
  <c r="O257" i="1"/>
  <c r="P257" i="1" s="1"/>
  <c r="P261" i="1"/>
  <c r="O261" i="1"/>
  <c r="P190" i="1"/>
  <c r="P194" i="1"/>
  <c r="O194" i="1"/>
  <c r="P198" i="1"/>
  <c r="O202" i="1"/>
  <c r="P202" i="1" s="1"/>
  <c r="P206" i="1"/>
  <c r="O210" i="1"/>
  <c r="P210" i="1" s="1"/>
  <c r="P214" i="1"/>
  <c r="P218" i="1"/>
  <c r="O218" i="1"/>
  <c r="P222" i="1"/>
  <c r="P226" i="1"/>
  <c r="O226" i="1"/>
  <c r="P234" i="1"/>
  <c r="O237" i="1"/>
  <c r="P237" i="1" s="1"/>
  <c r="P258" i="1"/>
  <c r="O258" i="1"/>
  <c r="O266" i="1"/>
  <c r="P266" i="1" s="1"/>
  <c r="P277" i="1"/>
  <c r="O282" i="1"/>
  <c r="P282" i="1" s="1"/>
  <c r="P289" i="1"/>
  <c r="O289" i="1"/>
  <c r="O295" i="1"/>
  <c r="P295" i="1" s="1"/>
  <c r="P311" i="1"/>
  <c r="O311" i="1"/>
  <c r="P68" i="1"/>
  <c r="P92" i="1"/>
  <c r="P150" i="1"/>
  <c r="P182" i="1"/>
  <c r="O241" i="1"/>
  <c r="P241" i="1" s="1"/>
  <c r="P245" i="1"/>
  <c r="O245" i="1"/>
  <c r="O278" i="1"/>
  <c r="P278" i="1" s="1"/>
  <c r="P292" i="1"/>
  <c r="O292" i="1"/>
  <c r="O308" i="1"/>
  <c r="P308" i="1" s="1"/>
  <c r="P324" i="1"/>
  <c r="P76" i="1"/>
  <c r="P84" i="1"/>
  <c r="P55" i="1"/>
  <c r="O60" i="1"/>
  <c r="P60" i="1" s="1"/>
  <c r="P79" i="1"/>
  <c r="P87" i="1"/>
  <c r="P95" i="1"/>
  <c r="O100" i="1"/>
  <c r="P100" i="1" s="1"/>
  <c r="P129" i="1"/>
  <c r="O134" i="1"/>
  <c r="P134" i="1" s="1"/>
  <c r="P137" i="1"/>
  <c r="O142" i="1"/>
  <c r="P142" i="1" s="1"/>
  <c r="P145" i="1"/>
  <c r="O150" i="1"/>
  <c r="P153" i="1"/>
  <c r="O158" i="1"/>
  <c r="P158" i="1" s="1"/>
  <c r="P161" i="1"/>
  <c r="O166" i="1"/>
  <c r="P166" i="1" s="1"/>
  <c r="P169" i="1"/>
  <c r="O174" i="1"/>
  <c r="P174" i="1" s="1"/>
  <c r="P177" i="1"/>
  <c r="O182" i="1"/>
  <c r="P185" i="1"/>
  <c r="O238" i="1"/>
  <c r="P238" i="1" s="1"/>
  <c r="O242" i="1"/>
  <c r="P242" i="1" s="1"/>
  <c r="P250" i="1"/>
  <c r="P253" i="1"/>
  <c r="O253" i="1"/>
  <c r="P230" i="1"/>
  <c r="P233" i="1"/>
  <c r="O233" i="1"/>
  <c r="P246" i="1"/>
  <c r="O249" i="1"/>
  <c r="P249" i="1" s="1"/>
  <c r="P262" i="1"/>
  <c r="O265" i="1"/>
  <c r="P265" i="1" s="1"/>
  <c r="P270" i="1"/>
  <c r="O270" i="1"/>
  <c r="O286" i="1"/>
  <c r="P286" i="1" s="1"/>
  <c r="O274" i="1"/>
  <c r="P274" i="1" s="1"/>
  <c r="P327" i="1"/>
  <c r="O327" i="1"/>
  <c r="P343" i="1"/>
  <c r="O343" i="1"/>
  <c r="O359" i="1"/>
  <c r="P359" i="1" s="1"/>
  <c r="P372" i="1"/>
  <c r="O375" i="1"/>
  <c r="P375" i="1" s="1"/>
  <c r="P388" i="1"/>
  <c r="P391" i="1"/>
  <c r="O391" i="1"/>
  <c r="P407" i="1"/>
  <c r="O407" i="1"/>
  <c r="O423" i="1"/>
  <c r="P423" i="1" s="1"/>
  <c r="P436" i="1"/>
  <c r="O439" i="1"/>
  <c r="P439" i="1" s="1"/>
  <c r="P452" i="1"/>
  <c r="P296" i="1"/>
  <c r="O299" i="1"/>
  <c r="P299" i="1" s="1"/>
  <c r="P312" i="1"/>
  <c r="P315" i="1"/>
  <c r="O315" i="1"/>
  <c r="O324" i="1"/>
  <c r="P328" i="1"/>
  <c r="P331" i="1"/>
  <c r="O331" i="1"/>
  <c r="O340" i="1"/>
  <c r="P340" i="1" s="1"/>
  <c r="P344" i="1"/>
  <c r="P347" i="1"/>
  <c r="O347" i="1"/>
  <c r="O356" i="1"/>
  <c r="P356" i="1" s="1"/>
  <c r="P360" i="1"/>
  <c r="P363" i="1"/>
  <c r="O363" i="1"/>
  <c r="O372" i="1"/>
  <c r="P376" i="1"/>
  <c r="P379" i="1"/>
  <c r="O379" i="1"/>
  <c r="O388" i="1"/>
  <c r="P392" i="1"/>
  <c r="P395" i="1"/>
  <c r="O395" i="1"/>
  <c r="O404" i="1"/>
  <c r="P404" i="1" s="1"/>
  <c r="P408" i="1"/>
  <c r="P411" i="1"/>
  <c r="O411" i="1"/>
  <c r="O420" i="1"/>
  <c r="P420" i="1" s="1"/>
  <c r="P424" i="1"/>
  <c r="P427" i="1"/>
  <c r="O427" i="1"/>
  <c r="O436" i="1"/>
  <c r="P440" i="1"/>
  <c r="P443" i="1"/>
  <c r="O443" i="1"/>
  <c r="O452" i="1"/>
  <c r="O269" i="1"/>
  <c r="P269" i="1" s="1"/>
  <c r="O273" i="1"/>
  <c r="P273" i="1" s="1"/>
  <c r="O277" i="1"/>
  <c r="O281" i="1"/>
  <c r="P281" i="1" s="1"/>
  <c r="O285" i="1"/>
  <c r="P285" i="1" s="1"/>
  <c r="P288" i="1"/>
  <c r="O296" i="1"/>
  <c r="P300" i="1"/>
  <c r="P303" i="1"/>
  <c r="O303" i="1"/>
  <c r="O312" i="1"/>
  <c r="P316" i="1"/>
  <c r="P319" i="1"/>
  <c r="O319" i="1"/>
  <c r="O328" i="1"/>
  <c r="P332" i="1"/>
  <c r="P335" i="1"/>
  <c r="O335" i="1"/>
  <c r="O344" i="1"/>
  <c r="P348" i="1"/>
  <c r="P351" i="1"/>
  <c r="O351" i="1"/>
  <c r="O360" i="1"/>
  <c r="P364" i="1"/>
  <c r="P367" i="1"/>
  <c r="O367" i="1"/>
  <c r="O376" i="1"/>
  <c r="P380" i="1"/>
  <c r="P383" i="1"/>
  <c r="O383" i="1"/>
  <c r="O392" i="1"/>
  <c r="P396" i="1"/>
  <c r="P399" i="1"/>
  <c r="O399" i="1"/>
  <c r="O408" i="1"/>
  <c r="P412" i="1"/>
  <c r="P415" i="1"/>
  <c r="O415" i="1"/>
  <c r="O424" i="1"/>
  <c r="P428" i="1"/>
  <c r="P431" i="1"/>
  <c r="O431" i="1"/>
  <c r="O440" i="1"/>
  <c r="P444" i="1"/>
  <c r="P447" i="1"/>
  <c r="O447" i="1"/>
  <c r="P304" i="1"/>
  <c r="O307" i="1"/>
  <c r="P307" i="1" s="1"/>
  <c r="P320" i="1"/>
  <c r="O323" i="1"/>
  <c r="P323" i="1" s="1"/>
  <c r="P336" i="1"/>
  <c r="P339" i="1"/>
  <c r="O339" i="1"/>
  <c r="P352" i="1"/>
  <c r="P355" i="1"/>
  <c r="O355" i="1"/>
  <c r="P368" i="1"/>
  <c r="O371" i="1"/>
  <c r="P371" i="1" s="1"/>
  <c r="P384" i="1"/>
  <c r="O387" i="1"/>
  <c r="P387" i="1" s="1"/>
  <c r="P400" i="1"/>
  <c r="P403" i="1"/>
  <c r="O403" i="1"/>
  <c r="P416" i="1"/>
  <c r="P419" i="1"/>
  <c r="O419" i="1"/>
  <c r="P432" i="1"/>
  <c r="O435" i="1"/>
  <c r="P435" i="1" s="1"/>
  <c r="P448" i="1"/>
  <c r="O451" i="1"/>
  <c r="P451" i="1" s="1"/>
  <c r="P455" i="1"/>
  <c r="O455" i="1"/>
</calcChain>
</file>

<file path=xl/sharedStrings.xml><?xml version="1.0" encoding="utf-8"?>
<sst xmlns="http://schemas.openxmlformats.org/spreadsheetml/2006/main" count="1799" uniqueCount="57">
  <si>
    <t xml:space="preserve">   CORPORACION PIÑALES DE  PITAL, CPP, SA</t>
  </si>
  <si>
    <t>Pital, San Carlos, Alajuela</t>
  </si>
  <si>
    <t>Labores Agricolas Contratista.</t>
  </si>
  <si>
    <t>Empresa</t>
  </si>
  <si>
    <t>Fecha Inicial</t>
  </si>
  <si>
    <t>Semana</t>
  </si>
  <si>
    <t>Lote</t>
  </si>
  <si>
    <t>Grupo</t>
  </si>
  <si>
    <t>Labor</t>
  </si>
  <si>
    <t>Cantidad de Personas</t>
  </si>
  <si>
    <t>Horas en Labor</t>
  </si>
  <si>
    <t>Pase</t>
  </si>
  <si>
    <t>Unidad de Medida</t>
  </si>
  <si>
    <t>Cantidad</t>
  </si>
  <si>
    <t>Area</t>
  </si>
  <si>
    <t>P,P Labor</t>
  </si>
  <si>
    <t>Total</t>
  </si>
  <si>
    <t>IVA (1%)</t>
  </si>
  <si>
    <t>TOTAL</t>
  </si>
  <si>
    <t># Factura</t>
  </si>
  <si>
    <t>CPP</t>
  </si>
  <si>
    <t>NA</t>
  </si>
  <si>
    <t>Transporte Semilla Terceros</t>
  </si>
  <si>
    <t>UN</t>
  </si>
  <si>
    <t>Siembra semilla por Contrato</t>
  </si>
  <si>
    <t>Taller</t>
  </si>
  <si>
    <t>Salario Alcidez</t>
  </si>
  <si>
    <t>Hrs</t>
  </si>
  <si>
    <t xml:space="preserve">Limpieza </t>
  </si>
  <si>
    <t>Deshierba Manual 1 Cosecha</t>
  </si>
  <si>
    <t>Aplica Abono Granular 45 Kg</t>
  </si>
  <si>
    <t>Saco</t>
  </si>
  <si>
    <t>Resiembra</t>
  </si>
  <si>
    <t>Palea</t>
  </si>
  <si>
    <t>Chapea</t>
  </si>
  <si>
    <t>Riega de Herbicida</t>
  </si>
  <si>
    <t>Siemb, Semi</t>
  </si>
  <si>
    <t>Seleccion y Carga Corona en Planta</t>
  </si>
  <si>
    <t>Aplic, Siege-pro</t>
  </si>
  <si>
    <t>Flete, Nort</t>
  </si>
  <si>
    <t>Horas Taller</t>
  </si>
  <si>
    <t>Herbicida Rondas y Canales</t>
  </si>
  <si>
    <t>Confeccion Planos Finca</t>
  </si>
  <si>
    <t>c/u</t>
  </si>
  <si>
    <t>Siembra Semilla por Contrato</t>
  </si>
  <si>
    <t>Mantenimiento Rondas y Canales</t>
  </si>
  <si>
    <t>Seleccion y Carga de Corona en Campo</t>
  </si>
  <si>
    <t>Aserrado de Postes</t>
  </si>
  <si>
    <t>Chapia de Semilleros</t>
  </si>
  <si>
    <t>Gauging</t>
  </si>
  <si>
    <t>Carrileo de plantación en semillero</t>
  </si>
  <si>
    <t>Transporte de Semilla de Yuca</t>
  </si>
  <si>
    <t>Siembra Semilla de Yuca</t>
  </si>
  <si>
    <t>Compra Semilla de Yuca</t>
  </si>
  <si>
    <t>Labores Varias pala Semillero</t>
  </si>
  <si>
    <t>Deshierba manual Semillero</t>
  </si>
  <si>
    <t>Deshierba manual en yuca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</si>
</sst>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₡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9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/>
    <xf numFmtId="0" fontId="0" fillId="5" borderId="9" xfId="0" applyFill="1" applyBorder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C40B-40D3-4880-B14F-F12C5E493E28}">
  <dimension ref="A1:R539"/>
  <sheetViews>
    <sheetView tabSelected="1" workbookViewId="0">
      <pane ySplit="4" topLeftCell="A428" activePane="bottomLeft" state="frozen"/>
      <selection activeCell="A4" sqref="A4"/>
      <selection pane="bottomLeft" activeCell="P462" sqref="P462"/>
    </sheetView>
  </sheetViews>
  <sheetFormatPr baseColWidth="10" defaultRowHeight="15" x14ac:dyDescent="0.25"/>
  <cols>
    <col min="2" max="2" width="17" customWidth="1"/>
    <col min="6" max="6" width="32.140625" customWidth="1"/>
    <col min="7" max="7" width="21.28515625" customWidth="1"/>
    <col min="14" max="14" width="25.7109375" customWidth="1"/>
    <col min="15" max="15" width="21.42578125" customWidth="1"/>
    <col min="16" max="16" width="24.85546875" customWidth="1"/>
  </cols>
  <sheetData>
    <row r="1" spans="1:17" ht="24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7" ht="21.75" thickBot="1" x14ac:dyDescent="0.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7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7" ht="15.75" x14ac:dyDescent="0.25">
      <c r="A4" s="9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1" t="s">
        <v>14</v>
      </c>
      <c r="M4" s="12" t="s">
        <v>15</v>
      </c>
      <c r="N4" s="13" t="s">
        <v>16</v>
      </c>
      <c r="O4" s="13" t="s">
        <v>17</v>
      </c>
      <c r="P4" s="14" t="s">
        <v>18</v>
      </c>
      <c r="Q4" s="14" t="s">
        <v>19</v>
      </c>
    </row>
    <row r="5" spans="1:17" x14ac:dyDescent="0.25">
      <c r="A5" s="15" t="s">
        <v>20</v>
      </c>
      <c r="B5" s="16">
        <v>45953</v>
      </c>
      <c r="C5" s="15">
        <v>202542</v>
      </c>
      <c r="D5" s="15">
        <v>25201</v>
      </c>
      <c r="E5" s="15" t="s">
        <v>21</v>
      </c>
      <c r="F5" s="15" t="s">
        <v>22</v>
      </c>
      <c r="G5" s="15" t="s">
        <v>21</v>
      </c>
      <c r="H5" s="15" t="s">
        <v>21</v>
      </c>
      <c r="I5" s="15" t="s">
        <v>21</v>
      </c>
      <c r="J5" s="15" t="s">
        <v>23</v>
      </c>
      <c r="K5" s="15">
        <v>9</v>
      </c>
      <c r="L5" s="15" t="s">
        <v>21</v>
      </c>
      <c r="M5" s="17">
        <v>80000</v>
      </c>
      <c r="N5" s="17">
        <f>+M5*K5</f>
        <v>720000</v>
      </c>
      <c r="O5" s="17">
        <f>+N5*0.01</f>
        <v>7200</v>
      </c>
      <c r="P5" s="17">
        <f>+O5+N5</f>
        <v>727200</v>
      </c>
      <c r="Q5" s="15">
        <v>403</v>
      </c>
    </row>
    <row r="6" spans="1:17" x14ac:dyDescent="0.25">
      <c r="A6" s="15" t="s">
        <v>20</v>
      </c>
      <c r="B6" s="16">
        <v>45953</v>
      </c>
      <c r="C6" s="15">
        <v>202542</v>
      </c>
      <c r="D6" s="15">
        <v>25201</v>
      </c>
      <c r="E6" s="15" t="s">
        <v>21</v>
      </c>
      <c r="F6" s="15" t="s">
        <v>24</v>
      </c>
      <c r="G6" s="15" t="s">
        <v>21</v>
      </c>
      <c r="H6" s="15" t="s">
        <v>21</v>
      </c>
      <c r="I6" s="15" t="s">
        <v>21</v>
      </c>
      <c r="J6" s="15" t="s">
        <v>23</v>
      </c>
      <c r="K6" s="15">
        <v>122011</v>
      </c>
      <c r="L6" s="15" t="s">
        <v>21</v>
      </c>
      <c r="M6" s="17">
        <v>17</v>
      </c>
      <c r="N6" s="17">
        <f>+K6*M6</f>
        <v>2074187</v>
      </c>
      <c r="O6" s="17">
        <f>+N6*0.01</f>
        <v>20741.87</v>
      </c>
      <c r="P6" s="17">
        <f>+O6+N6</f>
        <v>2094928.87</v>
      </c>
      <c r="Q6" s="15">
        <v>403</v>
      </c>
    </row>
    <row r="7" spans="1:17" x14ac:dyDescent="0.25">
      <c r="A7" s="15" t="s">
        <v>20</v>
      </c>
      <c r="B7" s="16">
        <v>45954</v>
      </c>
      <c r="C7" s="15">
        <v>202544</v>
      </c>
      <c r="D7" s="15">
        <v>25201</v>
      </c>
      <c r="E7" s="15" t="s">
        <v>21</v>
      </c>
      <c r="F7" s="15" t="s">
        <v>24</v>
      </c>
      <c r="G7" s="15" t="s">
        <v>21</v>
      </c>
      <c r="H7" s="15" t="s">
        <v>21</v>
      </c>
      <c r="I7" s="15" t="s">
        <v>21</v>
      </c>
      <c r="J7" s="15" t="s">
        <v>23</v>
      </c>
      <c r="K7" s="15">
        <v>165968</v>
      </c>
      <c r="L7" s="15" t="s">
        <v>21</v>
      </c>
      <c r="M7" s="17">
        <v>17</v>
      </c>
      <c r="N7" s="17">
        <f>+K7*M7</f>
        <v>2821456</v>
      </c>
      <c r="O7" s="17">
        <f>+N7*0.01</f>
        <v>28214.560000000001</v>
      </c>
      <c r="P7" s="17">
        <f>+O7+N7</f>
        <v>2849670.56</v>
      </c>
      <c r="Q7" s="15">
        <v>412</v>
      </c>
    </row>
    <row r="8" spans="1:17" x14ac:dyDescent="0.25">
      <c r="A8" s="15" t="s">
        <v>20</v>
      </c>
      <c r="B8" s="16">
        <v>45972</v>
      </c>
      <c r="C8" s="15">
        <v>202545</v>
      </c>
      <c r="D8" s="15">
        <v>25201</v>
      </c>
      <c r="E8" s="15" t="s">
        <v>21</v>
      </c>
      <c r="F8" s="15" t="s">
        <v>24</v>
      </c>
      <c r="G8" s="15" t="s">
        <v>21</v>
      </c>
      <c r="H8" s="15" t="s">
        <v>21</v>
      </c>
      <c r="I8" s="15" t="s">
        <v>21</v>
      </c>
      <c r="J8" s="15" t="s">
        <v>23</v>
      </c>
      <c r="K8" s="15">
        <v>283846</v>
      </c>
      <c r="L8" s="15" t="s">
        <v>21</v>
      </c>
      <c r="M8" s="17">
        <v>17</v>
      </c>
      <c r="N8" s="17">
        <f t="shared" ref="N8:N40" si="0">+K8*M8</f>
        <v>4825382</v>
      </c>
      <c r="O8" s="17">
        <f t="shared" ref="O8:O22" si="1">+N8*0.01</f>
        <v>48253.82</v>
      </c>
      <c r="P8" s="17">
        <f t="shared" ref="P8:P22" si="2">+O8+N8</f>
        <v>4873635.82</v>
      </c>
      <c r="Q8" s="15">
        <v>417</v>
      </c>
    </row>
    <row r="9" spans="1:17" x14ac:dyDescent="0.25">
      <c r="A9" s="15" t="s">
        <v>20</v>
      </c>
      <c r="B9" s="16">
        <v>45973</v>
      </c>
      <c r="C9" s="15">
        <v>202545</v>
      </c>
      <c r="D9" s="15" t="s">
        <v>25</v>
      </c>
      <c r="E9" s="15" t="s">
        <v>21</v>
      </c>
      <c r="F9" s="15" t="s">
        <v>26</v>
      </c>
      <c r="G9" s="15" t="s">
        <v>21</v>
      </c>
      <c r="H9" s="15" t="s">
        <v>21</v>
      </c>
      <c r="I9" s="15" t="s">
        <v>21</v>
      </c>
      <c r="J9" s="15" t="s">
        <v>27</v>
      </c>
      <c r="K9" s="15">
        <v>280</v>
      </c>
      <c r="L9" s="15" t="s">
        <v>21</v>
      </c>
      <c r="M9" s="17">
        <v>1800</v>
      </c>
      <c r="N9" s="17">
        <f t="shared" si="0"/>
        <v>504000</v>
      </c>
      <c r="O9" s="17">
        <f t="shared" si="1"/>
        <v>5040</v>
      </c>
      <c r="P9" s="17">
        <f t="shared" si="2"/>
        <v>509040</v>
      </c>
      <c r="Q9" s="15">
        <v>418</v>
      </c>
    </row>
    <row r="10" spans="1:17" x14ac:dyDescent="0.25">
      <c r="A10" s="15" t="s">
        <v>20</v>
      </c>
      <c r="B10" s="16">
        <v>45980</v>
      </c>
      <c r="C10" s="15">
        <v>202546</v>
      </c>
      <c r="D10" s="15">
        <v>25201</v>
      </c>
      <c r="E10" s="15" t="s">
        <v>21</v>
      </c>
      <c r="F10" s="15" t="s">
        <v>24</v>
      </c>
      <c r="G10" s="15" t="s">
        <v>21</v>
      </c>
      <c r="H10" s="15" t="s">
        <v>21</v>
      </c>
      <c r="I10" s="15" t="s">
        <v>21</v>
      </c>
      <c r="J10" s="15" t="s">
        <v>23</v>
      </c>
      <c r="K10" s="15">
        <v>189542</v>
      </c>
      <c r="L10" s="15" t="s">
        <v>21</v>
      </c>
      <c r="M10" s="17">
        <v>17</v>
      </c>
      <c r="N10" s="17">
        <f t="shared" si="0"/>
        <v>3222214</v>
      </c>
      <c r="O10" s="17">
        <f t="shared" si="1"/>
        <v>32222.14</v>
      </c>
      <c r="P10" s="17">
        <f t="shared" si="2"/>
        <v>3254436.14</v>
      </c>
      <c r="Q10" s="15">
        <v>425</v>
      </c>
    </row>
    <row r="11" spans="1:17" x14ac:dyDescent="0.25">
      <c r="A11" s="15" t="s">
        <v>20</v>
      </c>
      <c r="B11" s="16">
        <v>45985</v>
      </c>
      <c r="C11" s="15">
        <v>202547</v>
      </c>
      <c r="D11" s="15">
        <v>25201</v>
      </c>
      <c r="E11" s="15" t="s">
        <v>21</v>
      </c>
      <c r="F11" s="15" t="s">
        <v>24</v>
      </c>
      <c r="G11" s="15" t="s">
        <v>21</v>
      </c>
      <c r="H11" s="15" t="s">
        <v>21</v>
      </c>
      <c r="I11" s="15" t="s">
        <v>21</v>
      </c>
      <c r="J11" s="15" t="s">
        <v>23</v>
      </c>
      <c r="K11" s="15">
        <v>214797</v>
      </c>
      <c r="L11" s="15" t="s">
        <v>21</v>
      </c>
      <c r="M11" s="17">
        <v>17</v>
      </c>
      <c r="N11" s="17">
        <f t="shared" si="0"/>
        <v>3651549</v>
      </c>
      <c r="O11" s="17">
        <f t="shared" si="1"/>
        <v>36515.49</v>
      </c>
      <c r="P11" s="17">
        <f t="shared" si="2"/>
        <v>3688064.49</v>
      </c>
      <c r="Q11" s="15">
        <v>428</v>
      </c>
    </row>
    <row r="12" spans="1:17" x14ac:dyDescent="0.25">
      <c r="A12" s="15" t="s">
        <v>20</v>
      </c>
      <c r="B12" s="16">
        <v>45994</v>
      </c>
      <c r="C12" s="15">
        <v>202548</v>
      </c>
      <c r="D12" s="15">
        <v>25201</v>
      </c>
      <c r="E12" s="15" t="s">
        <v>21</v>
      </c>
      <c r="F12" s="15" t="s">
        <v>24</v>
      </c>
      <c r="G12" s="15" t="s">
        <v>21</v>
      </c>
      <c r="H12" s="15" t="s">
        <v>21</v>
      </c>
      <c r="I12" s="15" t="s">
        <v>21</v>
      </c>
      <c r="J12" s="15" t="s">
        <v>23</v>
      </c>
      <c r="K12" s="15">
        <v>216269</v>
      </c>
      <c r="L12" s="15" t="s">
        <v>21</v>
      </c>
      <c r="M12" s="17">
        <v>17</v>
      </c>
      <c r="N12" s="17">
        <f t="shared" si="0"/>
        <v>3676573</v>
      </c>
      <c r="O12" s="17">
        <f t="shared" si="1"/>
        <v>36765.730000000003</v>
      </c>
      <c r="P12" s="17">
        <f t="shared" si="2"/>
        <v>3713338.73</v>
      </c>
      <c r="Q12" s="15">
        <v>433</v>
      </c>
    </row>
    <row r="13" spans="1:17" x14ac:dyDescent="0.25">
      <c r="A13" s="15" t="s">
        <v>20</v>
      </c>
      <c r="B13" s="16">
        <v>45994</v>
      </c>
      <c r="C13" s="15">
        <v>202548</v>
      </c>
      <c r="D13" s="15">
        <v>25201</v>
      </c>
      <c r="E13" s="15" t="s">
        <v>21</v>
      </c>
      <c r="F13" s="15" t="s">
        <v>28</v>
      </c>
      <c r="G13" s="15" t="s">
        <v>21</v>
      </c>
      <c r="H13" s="15" t="s">
        <v>21</v>
      </c>
      <c r="I13" s="15" t="s">
        <v>21</v>
      </c>
      <c r="J13" s="15" t="s">
        <v>27</v>
      </c>
      <c r="K13" s="15">
        <v>14</v>
      </c>
      <c r="L13" s="15" t="s">
        <v>21</v>
      </c>
      <c r="M13" s="17">
        <v>1800</v>
      </c>
      <c r="N13" s="17">
        <f t="shared" si="0"/>
        <v>25200</v>
      </c>
      <c r="O13" s="17">
        <f t="shared" si="1"/>
        <v>252</v>
      </c>
      <c r="P13" s="17">
        <f t="shared" si="2"/>
        <v>25452</v>
      </c>
      <c r="Q13" s="15">
        <v>434</v>
      </c>
    </row>
    <row r="14" spans="1:17" x14ac:dyDescent="0.25">
      <c r="A14" s="15" t="s">
        <v>20</v>
      </c>
      <c r="B14" s="16">
        <v>46001</v>
      </c>
      <c r="C14" s="15">
        <v>202549</v>
      </c>
      <c r="D14" s="15">
        <v>25201</v>
      </c>
      <c r="E14" s="15" t="s">
        <v>21</v>
      </c>
      <c r="F14" s="15" t="s">
        <v>24</v>
      </c>
      <c r="G14" s="15" t="s">
        <v>21</v>
      </c>
      <c r="H14" s="15" t="s">
        <v>21</v>
      </c>
      <c r="I14" s="15" t="s">
        <v>21</v>
      </c>
      <c r="J14" s="15" t="s">
        <v>23</v>
      </c>
      <c r="K14" s="15">
        <v>92705</v>
      </c>
      <c r="L14" s="15" t="s">
        <v>21</v>
      </c>
      <c r="M14" s="17">
        <v>17</v>
      </c>
      <c r="N14" s="17">
        <f t="shared" si="0"/>
        <v>1575985</v>
      </c>
      <c r="O14" s="17">
        <f t="shared" si="1"/>
        <v>15759.85</v>
      </c>
      <c r="P14" s="17">
        <f t="shared" si="2"/>
        <v>1591744.85</v>
      </c>
      <c r="Q14" s="15">
        <v>436</v>
      </c>
    </row>
    <row r="15" spans="1:17" x14ac:dyDescent="0.25">
      <c r="A15" s="15" t="s">
        <v>20</v>
      </c>
      <c r="B15" s="16">
        <v>46001</v>
      </c>
      <c r="C15" s="15">
        <v>202549</v>
      </c>
      <c r="D15" s="15">
        <v>25201</v>
      </c>
      <c r="E15" s="15" t="s">
        <v>21</v>
      </c>
      <c r="F15" s="18" t="s">
        <v>29</v>
      </c>
      <c r="G15" s="15" t="s">
        <v>21</v>
      </c>
      <c r="H15" s="15" t="s">
        <v>21</v>
      </c>
      <c r="I15" s="15" t="s">
        <v>21</v>
      </c>
      <c r="J15" s="15" t="s">
        <v>27</v>
      </c>
      <c r="K15" s="15">
        <v>478</v>
      </c>
      <c r="L15" s="15" t="s">
        <v>21</v>
      </c>
      <c r="M15" s="17">
        <v>1800</v>
      </c>
      <c r="N15" s="17">
        <f t="shared" si="0"/>
        <v>860400</v>
      </c>
      <c r="O15" s="17">
        <f t="shared" si="1"/>
        <v>8604</v>
      </c>
      <c r="P15" s="17">
        <f t="shared" si="2"/>
        <v>869004</v>
      </c>
      <c r="Q15" s="15">
        <v>436</v>
      </c>
    </row>
    <row r="16" spans="1:17" x14ac:dyDescent="0.25">
      <c r="A16" s="15" t="s">
        <v>20</v>
      </c>
      <c r="B16" s="16">
        <v>46001</v>
      </c>
      <c r="C16" s="15">
        <v>202549</v>
      </c>
      <c r="D16" s="15">
        <v>25201</v>
      </c>
      <c r="E16" s="15" t="s">
        <v>21</v>
      </c>
      <c r="F16" s="15" t="s">
        <v>30</v>
      </c>
      <c r="G16" s="15" t="s">
        <v>21</v>
      </c>
      <c r="H16" s="15" t="s">
        <v>21</v>
      </c>
      <c r="I16" s="15" t="s">
        <v>21</v>
      </c>
      <c r="J16" s="18" t="s">
        <v>31</v>
      </c>
      <c r="K16" s="15">
        <v>78</v>
      </c>
      <c r="L16" s="15" t="s">
        <v>21</v>
      </c>
      <c r="M16" s="17">
        <v>4000</v>
      </c>
      <c r="N16" s="17">
        <f t="shared" si="0"/>
        <v>312000</v>
      </c>
      <c r="O16" s="17">
        <f t="shared" si="1"/>
        <v>3120</v>
      </c>
      <c r="P16" s="17">
        <f t="shared" si="2"/>
        <v>315120</v>
      </c>
      <c r="Q16" s="15">
        <v>436</v>
      </c>
    </row>
    <row r="17" spans="1:17" x14ac:dyDescent="0.25">
      <c r="A17" s="15" t="s">
        <v>20</v>
      </c>
      <c r="B17" s="16">
        <v>46015</v>
      </c>
      <c r="C17" s="15">
        <v>202551</v>
      </c>
      <c r="D17" s="15">
        <v>25201</v>
      </c>
      <c r="E17" s="15" t="s">
        <v>21</v>
      </c>
      <c r="F17" s="15" t="s">
        <v>30</v>
      </c>
      <c r="G17" s="15" t="s">
        <v>21</v>
      </c>
      <c r="H17" s="15" t="s">
        <v>21</v>
      </c>
      <c r="I17" s="15" t="s">
        <v>21</v>
      </c>
      <c r="J17" s="18" t="s">
        <v>31</v>
      </c>
      <c r="K17" s="15">
        <v>78</v>
      </c>
      <c r="L17" s="15" t="s">
        <v>21</v>
      </c>
      <c r="M17" s="17">
        <v>4000</v>
      </c>
      <c r="N17" s="17">
        <f t="shared" si="0"/>
        <v>312000</v>
      </c>
      <c r="O17" s="17">
        <f t="shared" si="1"/>
        <v>3120</v>
      </c>
      <c r="P17" s="17">
        <f t="shared" si="2"/>
        <v>315120</v>
      </c>
      <c r="Q17" s="15">
        <v>442</v>
      </c>
    </row>
    <row r="18" spans="1:17" x14ac:dyDescent="0.25">
      <c r="A18" s="15" t="s">
        <v>20</v>
      </c>
      <c r="B18" s="16">
        <v>46015</v>
      </c>
      <c r="C18" s="15">
        <v>202551</v>
      </c>
      <c r="D18" s="15">
        <v>25201</v>
      </c>
      <c r="E18" s="15" t="s">
        <v>21</v>
      </c>
      <c r="F18" s="15" t="s">
        <v>32</v>
      </c>
      <c r="G18" s="15" t="s">
        <v>21</v>
      </c>
      <c r="H18" s="15" t="s">
        <v>21</v>
      </c>
      <c r="I18" s="15" t="s">
        <v>21</v>
      </c>
      <c r="J18" s="15" t="s">
        <v>27</v>
      </c>
      <c r="K18" s="15">
        <v>44</v>
      </c>
      <c r="L18" s="15" t="s">
        <v>21</v>
      </c>
      <c r="M18" s="17">
        <v>1800</v>
      </c>
      <c r="N18" s="17">
        <f t="shared" si="0"/>
        <v>79200</v>
      </c>
      <c r="O18" s="17">
        <f t="shared" si="1"/>
        <v>792</v>
      </c>
      <c r="P18" s="17">
        <f t="shared" si="2"/>
        <v>79992</v>
      </c>
      <c r="Q18" s="15">
        <v>442</v>
      </c>
    </row>
    <row r="19" spans="1:17" x14ac:dyDescent="0.25">
      <c r="A19" s="15" t="s">
        <v>20</v>
      </c>
      <c r="B19" s="16">
        <v>46015</v>
      </c>
      <c r="C19" s="15">
        <v>202551</v>
      </c>
      <c r="D19" s="15">
        <v>25201</v>
      </c>
      <c r="E19" s="15" t="s">
        <v>21</v>
      </c>
      <c r="F19" s="15" t="s">
        <v>33</v>
      </c>
      <c r="G19" s="15" t="s">
        <v>21</v>
      </c>
      <c r="H19" s="15" t="s">
        <v>21</v>
      </c>
      <c r="I19" s="15" t="s">
        <v>21</v>
      </c>
      <c r="J19" s="15" t="s">
        <v>27</v>
      </c>
      <c r="K19" s="15">
        <v>16</v>
      </c>
      <c r="L19" s="15" t="s">
        <v>21</v>
      </c>
      <c r="M19" s="17">
        <v>1800</v>
      </c>
      <c r="N19" s="17">
        <f t="shared" si="0"/>
        <v>28800</v>
      </c>
      <c r="O19" s="17">
        <f t="shared" si="1"/>
        <v>288</v>
      </c>
      <c r="P19" s="17">
        <f t="shared" si="2"/>
        <v>29088</v>
      </c>
      <c r="Q19" s="15">
        <v>442</v>
      </c>
    </row>
    <row r="20" spans="1:17" x14ac:dyDescent="0.25">
      <c r="A20" s="15" t="s">
        <v>20</v>
      </c>
      <c r="B20" s="16">
        <v>46015</v>
      </c>
      <c r="C20" s="15">
        <v>202551</v>
      </c>
      <c r="D20" s="15">
        <v>25201</v>
      </c>
      <c r="E20" s="15" t="s">
        <v>21</v>
      </c>
      <c r="F20" s="15" t="s">
        <v>24</v>
      </c>
      <c r="G20" s="15" t="s">
        <v>21</v>
      </c>
      <c r="H20" s="15" t="s">
        <v>21</v>
      </c>
      <c r="I20" s="15" t="s">
        <v>21</v>
      </c>
      <c r="J20" s="15" t="s">
        <v>23</v>
      </c>
      <c r="K20" s="15">
        <v>160340</v>
      </c>
      <c r="L20" s="15" t="s">
        <v>21</v>
      </c>
      <c r="M20" s="17">
        <v>17</v>
      </c>
      <c r="N20" s="17">
        <f t="shared" si="0"/>
        <v>2725780</v>
      </c>
      <c r="O20" s="17">
        <f t="shared" si="1"/>
        <v>27257.8</v>
      </c>
      <c r="P20" s="17">
        <f t="shared" si="2"/>
        <v>2753037.8</v>
      </c>
      <c r="Q20" s="15">
        <v>442</v>
      </c>
    </row>
    <row r="21" spans="1:17" x14ac:dyDescent="0.25">
      <c r="A21" s="15" t="s">
        <v>20</v>
      </c>
      <c r="B21" s="16">
        <v>46029</v>
      </c>
      <c r="C21" s="15">
        <v>202602</v>
      </c>
      <c r="D21" s="15">
        <v>25201</v>
      </c>
      <c r="E21" s="15" t="s">
        <v>21</v>
      </c>
      <c r="F21" s="15" t="s">
        <v>30</v>
      </c>
      <c r="G21" s="15" t="s">
        <v>21</v>
      </c>
      <c r="H21" s="15" t="s">
        <v>21</v>
      </c>
      <c r="I21" s="15" t="s">
        <v>21</v>
      </c>
      <c r="J21" s="18" t="s">
        <v>31</v>
      </c>
      <c r="K21" s="15">
        <v>52</v>
      </c>
      <c r="L21" s="15" t="s">
        <v>21</v>
      </c>
      <c r="M21" s="17">
        <v>4000</v>
      </c>
      <c r="N21" s="17">
        <f t="shared" si="0"/>
        <v>208000</v>
      </c>
      <c r="O21" s="17">
        <f t="shared" si="1"/>
        <v>2080</v>
      </c>
      <c r="P21" s="17">
        <f t="shared" si="2"/>
        <v>210080</v>
      </c>
      <c r="Q21" s="15">
        <v>445</v>
      </c>
    </row>
    <row r="22" spans="1:17" x14ac:dyDescent="0.25">
      <c r="A22" s="15" t="s">
        <v>20</v>
      </c>
      <c r="B22" s="16">
        <v>46029</v>
      </c>
      <c r="C22" s="15">
        <v>202602</v>
      </c>
      <c r="D22" s="15">
        <v>25201</v>
      </c>
      <c r="E22" s="15" t="s">
        <v>21</v>
      </c>
      <c r="F22" s="15" t="s">
        <v>24</v>
      </c>
      <c r="G22" s="15" t="s">
        <v>21</v>
      </c>
      <c r="H22" s="15" t="s">
        <v>21</v>
      </c>
      <c r="I22" s="15" t="s">
        <v>21</v>
      </c>
      <c r="J22" s="15" t="s">
        <v>23</v>
      </c>
      <c r="K22" s="15">
        <v>104950</v>
      </c>
      <c r="L22" s="15" t="s">
        <v>21</v>
      </c>
      <c r="M22" s="17">
        <v>17</v>
      </c>
      <c r="N22" s="17">
        <f t="shared" si="0"/>
        <v>1784150</v>
      </c>
      <c r="O22" s="17">
        <f t="shared" si="1"/>
        <v>17841.5</v>
      </c>
      <c r="P22" s="17">
        <f t="shared" si="2"/>
        <v>1801991.5</v>
      </c>
      <c r="Q22" s="15">
        <v>445</v>
      </c>
    </row>
    <row r="23" spans="1:17" x14ac:dyDescent="0.25">
      <c r="A23" s="15" t="s">
        <v>20</v>
      </c>
      <c r="B23" s="16">
        <v>46029</v>
      </c>
      <c r="C23" s="15">
        <v>202602</v>
      </c>
      <c r="D23" s="15">
        <v>25201</v>
      </c>
      <c r="E23" s="15" t="s">
        <v>21</v>
      </c>
      <c r="F23" s="15" t="s">
        <v>24</v>
      </c>
      <c r="G23" s="15" t="s">
        <v>21</v>
      </c>
      <c r="H23" s="15" t="s">
        <v>21</v>
      </c>
      <c r="I23" s="15" t="s">
        <v>21</v>
      </c>
      <c r="J23" s="15" t="s">
        <v>23</v>
      </c>
      <c r="K23" s="15">
        <v>146761</v>
      </c>
      <c r="L23" s="15" t="s">
        <v>21</v>
      </c>
      <c r="M23" s="17">
        <v>17</v>
      </c>
      <c r="N23" s="17">
        <f t="shared" si="0"/>
        <v>2494937</v>
      </c>
      <c r="O23" s="17">
        <f>+N23*0.01</f>
        <v>24949.37</v>
      </c>
      <c r="P23" s="17">
        <f>+O23+N23</f>
        <v>2519886.37</v>
      </c>
      <c r="Q23" s="15">
        <v>446</v>
      </c>
    </row>
    <row r="24" spans="1:17" x14ac:dyDescent="0.25">
      <c r="A24" s="15" t="s">
        <v>20</v>
      </c>
      <c r="B24" s="16">
        <v>46029</v>
      </c>
      <c r="C24" s="15">
        <v>202602</v>
      </c>
      <c r="D24" s="15">
        <v>25201</v>
      </c>
      <c r="E24" s="15" t="s">
        <v>21</v>
      </c>
      <c r="F24" s="15" t="s">
        <v>30</v>
      </c>
      <c r="G24" s="15" t="s">
        <v>21</v>
      </c>
      <c r="H24" s="15" t="s">
        <v>21</v>
      </c>
      <c r="I24" s="15" t="s">
        <v>21</v>
      </c>
      <c r="J24" s="18" t="s">
        <v>31</v>
      </c>
      <c r="K24" s="15">
        <v>26</v>
      </c>
      <c r="L24" s="15" t="s">
        <v>21</v>
      </c>
      <c r="M24" s="17">
        <v>4000</v>
      </c>
      <c r="N24" s="17">
        <f t="shared" si="0"/>
        <v>104000</v>
      </c>
      <c r="O24" s="17">
        <f t="shared" ref="O24:O40" si="3">+N24*0.01</f>
        <v>1040</v>
      </c>
      <c r="P24" s="17">
        <f t="shared" ref="P24:P40" si="4">+O24+N24</f>
        <v>105040</v>
      </c>
      <c r="Q24" s="15">
        <v>446</v>
      </c>
    </row>
    <row r="25" spans="1:17" x14ac:dyDescent="0.25">
      <c r="A25" s="15" t="s">
        <v>20</v>
      </c>
      <c r="B25" s="16">
        <v>46029</v>
      </c>
      <c r="C25" s="15">
        <v>202602</v>
      </c>
      <c r="D25" s="15">
        <v>25201</v>
      </c>
      <c r="E25" s="15" t="s">
        <v>21</v>
      </c>
      <c r="F25" s="15" t="s">
        <v>32</v>
      </c>
      <c r="G25" s="15" t="s">
        <v>21</v>
      </c>
      <c r="H25" s="15" t="s">
        <v>21</v>
      </c>
      <c r="I25" s="15" t="s">
        <v>21</v>
      </c>
      <c r="J25" s="15" t="s">
        <v>27</v>
      </c>
      <c r="K25" s="15">
        <v>16</v>
      </c>
      <c r="L25" s="15" t="s">
        <v>21</v>
      </c>
      <c r="M25" s="17">
        <v>1800</v>
      </c>
      <c r="N25" s="17">
        <f t="shared" si="0"/>
        <v>28800</v>
      </c>
      <c r="O25" s="17">
        <f t="shared" si="3"/>
        <v>288</v>
      </c>
      <c r="P25" s="17">
        <f t="shared" si="4"/>
        <v>29088</v>
      </c>
      <c r="Q25" s="15">
        <v>446</v>
      </c>
    </row>
    <row r="26" spans="1:17" x14ac:dyDescent="0.25">
      <c r="A26" s="15" t="s">
        <v>20</v>
      </c>
      <c r="B26" s="16">
        <v>46035</v>
      </c>
      <c r="C26" s="15">
        <v>202603</v>
      </c>
      <c r="D26" s="15">
        <v>25201</v>
      </c>
      <c r="E26" s="15" t="s">
        <v>21</v>
      </c>
      <c r="F26" s="15" t="s">
        <v>34</v>
      </c>
      <c r="G26" s="15" t="s">
        <v>21</v>
      </c>
      <c r="H26" s="15" t="s">
        <v>21</v>
      </c>
      <c r="I26" s="15" t="s">
        <v>21</v>
      </c>
      <c r="J26" s="15" t="s">
        <v>27</v>
      </c>
      <c r="K26" s="15">
        <v>80</v>
      </c>
      <c r="L26" s="15" t="s">
        <v>21</v>
      </c>
      <c r="M26" s="17">
        <v>1800</v>
      </c>
      <c r="N26" s="17">
        <f t="shared" si="0"/>
        <v>144000</v>
      </c>
      <c r="O26" s="17">
        <f t="shared" si="3"/>
        <v>1440</v>
      </c>
      <c r="P26" s="17">
        <f t="shared" si="4"/>
        <v>145440</v>
      </c>
      <c r="Q26" s="15">
        <v>447</v>
      </c>
    </row>
    <row r="27" spans="1:17" x14ac:dyDescent="0.25">
      <c r="A27" s="15" t="s">
        <v>20</v>
      </c>
      <c r="B27" s="16">
        <v>46035</v>
      </c>
      <c r="C27" s="15">
        <v>202603</v>
      </c>
      <c r="D27" s="15">
        <v>25201</v>
      </c>
      <c r="E27" s="15" t="s">
        <v>21</v>
      </c>
      <c r="F27" s="15" t="s">
        <v>32</v>
      </c>
      <c r="G27" s="15" t="s">
        <v>21</v>
      </c>
      <c r="H27" s="15" t="s">
        <v>21</v>
      </c>
      <c r="I27" s="15" t="s">
        <v>21</v>
      </c>
      <c r="J27" s="15" t="s">
        <v>27</v>
      </c>
      <c r="K27" s="15">
        <v>12</v>
      </c>
      <c r="L27" s="15" t="s">
        <v>21</v>
      </c>
      <c r="M27" s="17">
        <v>1800</v>
      </c>
      <c r="N27" s="17">
        <f t="shared" si="0"/>
        <v>21600</v>
      </c>
      <c r="O27" s="17">
        <f t="shared" si="3"/>
        <v>216</v>
      </c>
      <c r="P27" s="17">
        <f t="shared" si="4"/>
        <v>21816</v>
      </c>
      <c r="Q27" s="15">
        <v>447</v>
      </c>
    </row>
    <row r="28" spans="1:17" x14ac:dyDescent="0.25">
      <c r="A28" s="15" t="s">
        <v>20</v>
      </c>
      <c r="B28" s="16">
        <v>46035</v>
      </c>
      <c r="C28" s="15">
        <v>202603</v>
      </c>
      <c r="D28" s="15">
        <v>25201</v>
      </c>
      <c r="E28" s="15" t="s">
        <v>21</v>
      </c>
      <c r="F28" s="15" t="s">
        <v>24</v>
      </c>
      <c r="G28" s="15" t="s">
        <v>21</v>
      </c>
      <c r="H28" s="15" t="s">
        <v>21</v>
      </c>
      <c r="I28" s="15" t="s">
        <v>21</v>
      </c>
      <c r="J28" s="15" t="s">
        <v>23</v>
      </c>
      <c r="K28" s="15">
        <v>189635</v>
      </c>
      <c r="L28" s="15" t="s">
        <v>21</v>
      </c>
      <c r="M28" s="17">
        <v>17</v>
      </c>
      <c r="N28" s="17">
        <f t="shared" si="0"/>
        <v>3223795</v>
      </c>
      <c r="O28" s="17">
        <f t="shared" si="3"/>
        <v>32237.95</v>
      </c>
      <c r="P28" s="17">
        <f t="shared" si="4"/>
        <v>3256032.95</v>
      </c>
      <c r="Q28" s="15">
        <v>447</v>
      </c>
    </row>
    <row r="29" spans="1:17" x14ac:dyDescent="0.25">
      <c r="A29" s="15" t="s">
        <v>20</v>
      </c>
      <c r="B29" s="16">
        <v>46035</v>
      </c>
      <c r="C29" s="15">
        <v>202603</v>
      </c>
      <c r="D29" s="15">
        <v>25201</v>
      </c>
      <c r="E29" s="15" t="s">
        <v>21</v>
      </c>
      <c r="F29" s="15" t="s">
        <v>30</v>
      </c>
      <c r="G29" s="15" t="s">
        <v>21</v>
      </c>
      <c r="H29" s="15" t="s">
        <v>21</v>
      </c>
      <c r="I29" s="15" t="s">
        <v>21</v>
      </c>
      <c r="J29" s="18" t="s">
        <v>31</v>
      </c>
      <c r="K29" s="15">
        <v>2</v>
      </c>
      <c r="L29" s="15" t="s">
        <v>21</v>
      </c>
      <c r="M29" s="17">
        <v>4000</v>
      </c>
      <c r="N29" s="17">
        <f t="shared" si="0"/>
        <v>8000</v>
      </c>
      <c r="O29" s="17">
        <f t="shared" si="3"/>
        <v>80</v>
      </c>
      <c r="P29" s="17">
        <f t="shared" si="4"/>
        <v>8080</v>
      </c>
      <c r="Q29" s="15">
        <v>447</v>
      </c>
    </row>
    <row r="30" spans="1:17" x14ac:dyDescent="0.25">
      <c r="A30" s="15" t="s">
        <v>20</v>
      </c>
      <c r="B30" s="16">
        <v>46042</v>
      </c>
      <c r="C30" s="15">
        <v>202604</v>
      </c>
      <c r="D30" s="15">
        <v>25201</v>
      </c>
      <c r="E30" s="15" t="s">
        <v>21</v>
      </c>
      <c r="F30" s="15" t="s">
        <v>24</v>
      </c>
      <c r="G30" s="15" t="s">
        <v>21</v>
      </c>
      <c r="H30" s="15" t="s">
        <v>21</v>
      </c>
      <c r="I30" s="15" t="s">
        <v>21</v>
      </c>
      <c r="J30" s="15" t="s">
        <v>23</v>
      </c>
      <c r="K30" s="15">
        <v>183824</v>
      </c>
      <c r="L30" s="15" t="s">
        <v>21</v>
      </c>
      <c r="M30" s="17">
        <v>17</v>
      </c>
      <c r="N30" s="17">
        <f t="shared" si="0"/>
        <v>3125008</v>
      </c>
      <c r="O30" s="17">
        <f t="shared" si="3"/>
        <v>31250.080000000002</v>
      </c>
      <c r="P30" s="17">
        <f t="shared" si="4"/>
        <v>3156258.08</v>
      </c>
      <c r="Q30" s="15">
        <v>449</v>
      </c>
    </row>
    <row r="31" spans="1:17" x14ac:dyDescent="0.25">
      <c r="A31" s="15" t="s">
        <v>20</v>
      </c>
      <c r="B31" s="16">
        <v>46049</v>
      </c>
      <c r="C31" s="15">
        <v>202605</v>
      </c>
      <c r="D31" s="15">
        <v>25201</v>
      </c>
      <c r="E31" s="15" t="s">
        <v>21</v>
      </c>
      <c r="F31" s="15" t="s">
        <v>24</v>
      </c>
      <c r="G31" s="15" t="s">
        <v>21</v>
      </c>
      <c r="H31" s="15" t="s">
        <v>21</v>
      </c>
      <c r="I31" s="15" t="s">
        <v>21</v>
      </c>
      <c r="J31" s="15" t="s">
        <v>23</v>
      </c>
      <c r="K31" s="15">
        <v>147646</v>
      </c>
      <c r="L31" s="15" t="s">
        <v>21</v>
      </c>
      <c r="M31" s="17">
        <v>17</v>
      </c>
      <c r="N31" s="17">
        <f t="shared" si="0"/>
        <v>2509982</v>
      </c>
      <c r="O31" s="17">
        <f t="shared" si="3"/>
        <v>25099.82</v>
      </c>
      <c r="P31" s="17">
        <f t="shared" si="4"/>
        <v>2535081.8199999998</v>
      </c>
      <c r="Q31" s="15">
        <v>450</v>
      </c>
    </row>
    <row r="32" spans="1:17" x14ac:dyDescent="0.25">
      <c r="A32" s="15" t="s">
        <v>20</v>
      </c>
      <c r="B32" s="16">
        <v>46049</v>
      </c>
      <c r="C32" s="15">
        <v>202605</v>
      </c>
      <c r="D32" s="15">
        <v>25201</v>
      </c>
      <c r="E32" s="15" t="s">
        <v>21</v>
      </c>
      <c r="F32" s="15" t="s">
        <v>32</v>
      </c>
      <c r="G32" s="15" t="s">
        <v>21</v>
      </c>
      <c r="H32" s="15" t="s">
        <v>21</v>
      </c>
      <c r="I32" s="15" t="s">
        <v>21</v>
      </c>
      <c r="J32" s="15" t="s">
        <v>27</v>
      </c>
      <c r="K32" s="15">
        <v>10</v>
      </c>
      <c r="L32" s="15" t="s">
        <v>21</v>
      </c>
      <c r="M32" s="17">
        <v>1800</v>
      </c>
      <c r="N32" s="17">
        <f t="shared" si="0"/>
        <v>18000</v>
      </c>
      <c r="O32" s="17">
        <f t="shared" si="3"/>
        <v>180</v>
      </c>
      <c r="P32" s="17">
        <f t="shared" si="4"/>
        <v>18180</v>
      </c>
      <c r="Q32" s="15">
        <v>450</v>
      </c>
    </row>
    <row r="33" spans="1:17" x14ac:dyDescent="0.25">
      <c r="A33" s="15" t="s">
        <v>20</v>
      </c>
      <c r="B33" s="16">
        <v>46056</v>
      </c>
      <c r="C33" s="15">
        <v>202606</v>
      </c>
      <c r="D33" s="15">
        <v>25201</v>
      </c>
      <c r="E33" s="15" t="s">
        <v>21</v>
      </c>
      <c r="F33" s="15" t="s">
        <v>24</v>
      </c>
      <c r="G33" s="15" t="s">
        <v>21</v>
      </c>
      <c r="H33" s="15" t="s">
        <v>21</v>
      </c>
      <c r="I33" s="15" t="s">
        <v>21</v>
      </c>
      <c r="J33" s="15" t="s">
        <v>23</v>
      </c>
      <c r="K33" s="15">
        <v>155798</v>
      </c>
      <c r="L33" s="15" t="s">
        <v>21</v>
      </c>
      <c r="M33" s="17">
        <v>17</v>
      </c>
      <c r="N33" s="17">
        <f t="shared" si="0"/>
        <v>2648566</v>
      </c>
      <c r="O33" s="17">
        <f t="shared" si="3"/>
        <v>26485.66</v>
      </c>
      <c r="P33" s="17">
        <f t="shared" si="4"/>
        <v>2675051.66</v>
      </c>
      <c r="Q33" s="15">
        <v>451</v>
      </c>
    </row>
    <row r="34" spans="1:17" x14ac:dyDescent="0.25">
      <c r="A34" s="15" t="s">
        <v>20</v>
      </c>
      <c r="B34" s="16">
        <v>46056</v>
      </c>
      <c r="C34" s="15">
        <v>202606</v>
      </c>
      <c r="D34" s="15">
        <v>25201</v>
      </c>
      <c r="E34" s="15" t="s">
        <v>21</v>
      </c>
      <c r="F34" s="15" t="s">
        <v>35</v>
      </c>
      <c r="G34" s="15" t="s">
        <v>21</v>
      </c>
      <c r="H34" s="15" t="s">
        <v>21</v>
      </c>
      <c r="I34" s="15" t="s">
        <v>21</v>
      </c>
      <c r="J34" s="15" t="s">
        <v>27</v>
      </c>
      <c r="K34" s="15">
        <v>16</v>
      </c>
      <c r="L34" s="15" t="s">
        <v>21</v>
      </c>
      <c r="M34" s="17">
        <v>1800</v>
      </c>
      <c r="N34" s="17">
        <f t="shared" si="0"/>
        <v>28800</v>
      </c>
      <c r="O34" s="17">
        <f t="shared" si="3"/>
        <v>288</v>
      </c>
      <c r="P34" s="17">
        <f t="shared" si="4"/>
        <v>29088</v>
      </c>
      <c r="Q34" s="15">
        <v>451</v>
      </c>
    </row>
    <row r="35" spans="1:17" x14ac:dyDescent="0.25">
      <c r="A35" s="15" t="s">
        <v>20</v>
      </c>
      <c r="B35" s="16">
        <v>46063</v>
      </c>
      <c r="C35" s="15">
        <v>202607</v>
      </c>
      <c r="D35" s="15">
        <v>25205</v>
      </c>
      <c r="E35" s="15" t="s">
        <v>21</v>
      </c>
      <c r="F35" s="15" t="s">
        <v>24</v>
      </c>
      <c r="G35" s="15" t="s">
        <v>21</v>
      </c>
      <c r="H35" s="15" t="s">
        <v>21</v>
      </c>
      <c r="I35" s="15" t="s">
        <v>21</v>
      </c>
      <c r="J35" s="15" t="s">
        <v>23</v>
      </c>
      <c r="K35" s="15">
        <v>157217</v>
      </c>
      <c r="L35" s="15" t="s">
        <v>21</v>
      </c>
      <c r="M35" s="17">
        <v>17</v>
      </c>
      <c r="N35" s="17">
        <f t="shared" si="0"/>
        <v>2672689</v>
      </c>
      <c r="O35" s="17">
        <f t="shared" si="3"/>
        <v>26726.89</v>
      </c>
      <c r="P35" s="17">
        <f t="shared" si="4"/>
        <v>2699415.89</v>
      </c>
      <c r="Q35" s="15">
        <v>452</v>
      </c>
    </row>
    <row r="36" spans="1:17" x14ac:dyDescent="0.25">
      <c r="A36" s="15" t="s">
        <v>20</v>
      </c>
      <c r="B36" s="16">
        <v>46063</v>
      </c>
      <c r="C36" s="15">
        <v>202607</v>
      </c>
      <c r="D36" s="15">
        <v>25205</v>
      </c>
      <c r="E36" s="15" t="s">
        <v>21</v>
      </c>
      <c r="F36" s="15" t="s">
        <v>30</v>
      </c>
      <c r="G36" s="15" t="s">
        <v>21</v>
      </c>
      <c r="H36" s="15" t="s">
        <v>21</v>
      </c>
      <c r="I36" s="15" t="s">
        <v>21</v>
      </c>
      <c r="J36" s="18" t="s">
        <v>31</v>
      </c>
      <c r="K36" s="15">
        <v>45</v>
      </c>
      <c r="L36" s="15" t="s">
        <v>21</v>
      </c>
      <c r="M36" s="17">
        <v>4000</v>
      </c>
      <c r="N36" s="17">
        <f t="shared" si="0"/>
        <v>180000</v>
      </c>
      <c r="O36" s="17">
        <f t="shared" si="3"/>
        <v>1800</v>
      </c>
      <c r="P36" s="17">
        <f t="shared" si="4"/>
        <v>181800</v>
      </c>
      <c r="Q36" s="15">
        <v>452</v>
      </c>
    </row>
    <row r="37" spans="1:17" x14ac:dyDescent="0.25">
      <c r="A37" s="15" t="s">
        <v>20</v>
      </c>
      <c r="B37" s="16">
        <v>46063</v>
      </c>
      <c r="C37" s="15">
        <v>202607</v>
      </c>
      <c r="D37" s="15">
        <v>25205</v>
      </c>
      <c r="E37" s="15" t="s">
        <v>21</v>
      </c>
      <c r="F37" s="18" t="s">
        <v>29</v>
      </c>
      <c r="G37" s="15" t="s">
        <v>21</v>
      </c>
      <c r="H37" s="15" t="s">
        <v>21</v>
      </c>
      <c r="I37" s="15" t="s">
        <v>21</v>
      </c>
      <c r="J37" s="15" t="s">
        <v>27</v>
      </c>
      <c r="K37" s="15">
        <v>124</v>
      </c>
      <c r="L37" s="15" t="s">
        <v>21</v>
      </c>
      <c r="M37" s="17">
        <v>1800</v>
      </c>
      <c r="N37" s="17">
        <f t="shared" si="0"/>
        <v>223200</v>
      </c>
      <c r="O37" s="17">
        <f t="shared" si="3"/>
        <v>2232</v>
      </c>
      <c r="P37" s="17">
        <f t="shared" si="4"/>
        <v>225432</v>
      </c>
      <c r="Q37" s="15">
        <v>452</v>
      </c>
    </row>
    <row r="38" spans="1:17" x14ac:dyDescent="0.25">
      <c r="A38" s="15" t="s">
        <v>20</v>
      </c>
      <c r="B38" s="16">
        <v>46071</v>
      </c>
      <c r="C38" s="15">
        <v>202608</v>
      </c>
      <c r="D38" s="15">
        <v>25205</v>
      </c>
      <c r="E38" s="15" t="s">
        <v>21</v>
      </c>
      <c r="F38" s="15" t="s">
        <v>24</v>
      </c>
      <c r="G38" s="15" t="s">
        <v>21</v>
      </c>
      <c r="H38" s="15" t="s">
        <v>21</v>
      </c>
      <c r="I38" s="15" t="s">
        <v>21</v>
      </c>
      <c r="J38" s="15" t="s">
        <v>23</v>
      </c>
      <c r="K38" s="15">
        <v>152026</v>
      </c>
      <c r="L38" s="15" t="s">
        <v>21</v>
      </c>
      <c r="M38" s="17">
        <v>17</v>
      </c>
      <c r="N38" s="17">
        <f t="shared" si="0"/>
        <v>2584442</v>
      </c>
      <c r="O38" s="17">
        <f t="shared" si="3"/>
        <v>25844.420000000002</v>
      </c>
      <c r="P38" s="17">
        <f t="shared" si="4"/>
        <v>2610286.42</v>
      </c>
      <c r="Q38" s="15">
        <v>455</v>
      </c>
    </row>
    <row r="39" spans="1:17" x14ac:dyDescent="0.25">
      <c r="A39" s="15" t="s">
        <v>20</v>
      </c>
      <c r="B39" s="16">
        <v>46071</v>
      </c>
      <c r="C39" s="15">
        <v>202608</v>
      </c>
      <c r="D39" s="15">
        <v>25205</v>
      </c>
      <c r="E39" s="15" t="s">
        <v>21</v>
      </c>
      <c r="F39" s="15" t="s">
        <v>30</v>
      </c>
      <c r="G39" s="15" t="s">
        <v>21</v>
      </c>
      <c r="H39" s="15" t="s">
        <v>21</v>
      </c>
      <c r="I39" s="15" t="s">
        <v>21</v>
      </c>
      <c r="J39" s="18" t="s">
        <v>31</v>
      </c>
      <c r="K39" s="15">
        <v>68</v>
      </c>
      <c r="L39" s="15" t="s">
        <v>21</v>
      </c>
      <c r="M39" s="17">
        <v>4000</v>
      </c>
      <c r="N39" s="17">
        <f t="shared" si="0"/>
        <v>272000</v>
      </c>
      <c r="O39" s="17">
        <f t="shared" si="3"/>
        <v>2720</v>
      </c>
      <c r="P39" s="17">
        <f t="shared" si="4"/>
        <v>274720</v>
      </c>
      <c r="Q39" s="15">
        <v>455</v>
      </c>
    </row>
    <row r="40" spans="1:17" x14ac:dyDescent="0.25">
      <c r="A40" s="15" t="s">
        <v>20</v>
      </c>
      <c r="B40" s="16">
        <v>46071</v>
      </c>
      <c r="C40" s="15">
        <v>202608</v>
      </c>
      <c r="D40" s="15">
        <v>25205</v>
      </c>
      <c r="E40" s="15" t="s">
        <v>21</v>
      </c>
      <c r="F40" s="18" t="s">
        <v>29</v>
      </c>
      <c r="G40" s="15" t="s">
        <v>21</v>
      </c>
      <c r="H40" s="15" t="s">
        <v>21</v>
      </c>
      <c r="I40" s="15" t="s">
        <v>21</v>
      </c>
      <c r="J40" s="15" t="s">
        <v>27</v>
      </c>
      <c r="K40" s="15">
        <v>102</v>
      </c>
      <c r="L40" s="15" t="s">
        <v>21</v>
      </c>
      <c r="M40" s="17">
        <v>1800</v>
      </c>
      <c r="N40" s="17">
        <f t="shared" si="0"/>
        <v>183600</v>
      </c>
      <c r="O40" s="17">
        <f t="shared" si="3"/>
        <v>1836</v>
      </c>
      <c r="P40" s="17">
        <f t="shared" si="4"/>
        <v>185436</v>
      </c>
      <c r="Q40" s="15">
        <v>455</v>
      </c>
    </row>
    <row r="41" spans="1:17" x14ac:dyDescent="0.25">
      <c r="A41" s="15" t="s">
        <v>20</v>
      </c>
      <c r="B41" s="16">
        <v>46090</v>
      </c>
      <c r="C41" s="19">
        <v>202611</v>
      </c>
      <c r="D41" s="15">
        <v>26210</v>
      </c>
      <c r="E41" s="15" t="s">
        <v>21</v>
      </c>
      <c r="F41" s="15" t="s">
        <v>24</v>
      </c>
      <c r="G41" s="19">
        <v>6</v>
      </c>
      <c r="H41" s="15" t="s">
        <v>21</v>
      </c>
      <c r="I41" s="15" t="s">
        <v>21</v>
      </c>
      <c r="J41" s="15" t="s">
        <v>23</v>
      </c>
      <c r="K41" s="19">
        <v>28080</v>
      </c>
      <c r="L41" s="15" t="s">
        <v>21</v>
      </c>
      <c r="M41" s="17">
        <v>17</v>
      </c>
      <c r="N41" s="17">
        <f>+K41*M41</f>
        <v>477360</v>
      </c>
      <c r="O41" s="17">
        <f>+N41*0.01</f>
        <v>4773.6000000000004</v>
      </c>
      <c r="P41" s="17">
        <f>+N41+O41</f>
        <v>482133.6</v>
      </c>
      <c r="Q41" s="19">
        <v>469</v>
      </c>
    </row>
    <row r="42" spans="1:17" x14ac:dyDescent="0.25">
      <c r="A42" s="15" t="s">
        <v>20</v>
      </c>
      <c r="B42" s="16">
        <v>46090</v>
      </c>
      <c r="C42" s="19">
        <v>202611</v>
      </c>
      <c r="D42" s="15">
        <v>25206</v>
      </c>
      <c r="E42" s="15" t="s">
        <v>21</v>
      </c>
      <c r="F42" s="15" t="s">
        <v>36</v>
      </c>
      <c r="G42" s="19">
        <v>2</v>
      </c>
      <c r="H42" s="15" t="s">
        <v>21</v>
      </c>
      <c r="I42" s="15" t="s">
        <v>21</v>
      </c>
      <c r="J42" s="15" t="s">
        <v>23</v>
      </c>
      <c r="K42" s="19">
        <v>12300</v>
      </c>
      <c r="L42" s="15" t="s">
        <v>21</v>
      </c>
      <c r="M42" s="17">
        <v>17</v>
      </c>
      <c r="N42" s="17">
        <f t="shared" ref="N42:N51" si="5">+M42*K42</f>
        <v>209100</v>
      </c>
      <c r="O42" s="17">
        <f t="shared" ref="O42:O73" si="6">+N42*0.01</f>
        <v>2091</v>
      </c>
      <c r="P42" s="17">
        <f t="shared" ref="P42:P73" si="7">+N42+O42</f>
        <v>211191</v>
      </c>
      <c r="Q42" s="19">
        <v>469</v>
      </c>
    </row>
    <row r="43" spans="1:17" x14ac:dyDescent="0.25">
      <c r="A43" s="15" t="s">
        <v>20</v>
      </c>
      <c r="B43" s="16">
        <v>46091</v>
      </c>
      <c r="C43" s="19">
        <v>202611</v>
      </c>
      <c r="D43" s="15">
        <v>26210</v>
      </c>
      <c r="E43" s="15" t="s">
        <v>21</v>
      </c>
      <c r="F43" s="15" t="s">
        <v>24</v>
      </c>
      <c r="G43" s="19">
        <v>8</v>
      </c>
      <c r="H43" s="15" t="s">
        <v>21</v>
      </c>
      <c r="I43" s="15" t="s">
        <v>21</v>
      </c>
      <c r="J43" s="15" t="s">
        <v>23</v>
      </c>
      <c r="K43" s="19">
        <v>30524</v>
      </c>
      <c r="L43" s="15" t="s">
        <v>21</v>
      </c>
      <c r="M43" s="17">
        <v>17</v>
      </c>
      <c r="N43" s="17">
        <f t="shared" si="5"/>
        <v>518908</v>
      </c>
      <c r="O43" s="17">
        <f t="shared" si="6"/>
        <v>5189.08</v>
      </c>
      <c r="P43" s="17">
        <f t="shared" si="7"/>
        <v>524097.08</v>
      </c>
      <c r="Q43" s="19">
        <v>469</v>
      </c>
    </row>
    <row r="44" spans="1:17" x14ac:dyDescent="0.25">
      <c r="A44" s="15" t="s">
        <v>20</v>
      </c>
      <c r="B44" s="16">
        <v>46091</v>
      </c>
      <c r="C44" s="19">
        <v>202611</v>
      </c>
      <c r="D44" s="15">
        <v>25206</v>
      </c>
      <c r="E44" s="15" t="s">
        <v>21</v>
      </c>
      <c r="F44" s="15" t="s">
        <v>36</v>
      </c>
      <c r="G44" s="19">
        <v>2</v>
      </c>
      <c r="H44" s="15" t="s">
        <v>21</v>
      </c>
      <c r="I44" s="15" t="s">
        <v>21</v>
      </c>
      <c r="J44" s="15" t="s">
        <v>23</v>
      </c>
      <c r="K44" s="19">
        <v>18272</v>
      </c>
      <c r="L44" s="15" t="s">
        <v>21</v>
      </c>
      <c r="M44" s="17">
        <v>17</v>
      </c>
      <c r="N44" s="17">
        <f t="shared" si="5"/>
        <v>310624</v>
      </c>
      <c r="O44" s="17">
        <f t="shared" si="6"/>
        <v>3106.2400000000002</v>
      </c>
      <c r="P44" s="17">
        <f t="shared" si="7"/>
        <v>313730.24</v>
      </c>
      <c r="Q44" s="19">
        <v>469</v>
      </c>
    </row>
    <row r="45" spans="1:17" x14ac:dyDescent="0.25">
      <c r="A45" s="15" t="s">
        <v>20</v>
      </c>
      <c r="B45" s="16">
        <v>46092</v>
      </c>
      <c r="C45" s="19">
        <v>202611</v>
      </c>
      <c r="D45" s="15">
        <v>26210</v>
      </c>
      <c r="E45" s="15" t="s">
        <v>21</v>
      </c>
      <c r="F45" s="15" t="s">
        <v>24</v>
      </c>
      <c r="G45" s="19">
        <v>6</v>
      </c>
      <c r="H45" s="15" t="s">
        <v>21</v>
      </c>
      <c r="I45" s="15" t="s">
        <v>21</v>
      </c>
      <c r="J45" s="15" t="s">
        <v>23</v>
      </c>
      <c r="K45" s="19">
        <v>29030</v>
      </c>
      <c r="L45" s="15" t="s">
        <v>21</v>
      </c>
      <c r="M45" s="17">
        <v>17</v>
      </c>
      <c r="N45" s="17">
        <f t="shared" si="5"/>
        <v>493510</v>
      </c>
      <c r="O45" s="17">
        <f t="shared" si="6"/>
        <v>4935.1000000000004</v>
      </c>
      <c r="P45" s="17">
        <f t="shared" si="7"/>
        <v>498445.1</v>
      </c>
      <c r="Q45" s="19">
        <v>469</v>
      </c>
    </row>
    <row r="46" spans="1:17" x14ac:dyDescent="0.25">
      <c r="A46" s="15" t="s">
        <v>20</v>
      </c>
      <c r="B46" s="16">
        <v>46092</v>
      </c>
      <c r="C46" s="19">
        <v>202611</v>
      </c>
      <c r="D46" s="15">
        <v>25206</v>
      </c>
      <c r="E46" s="15" t="s">
        <v>21</v>
      </c>
      <c r="F46" s="15" t="s">
        <v>36</v>
      </c>
      <c r="G46" s="15">
        <v>2</v>
      </c>
      <c r="H46" s="15" t="s">
        <v>21</v>
      </c>
      <c r="I46" s="15" t="s">
        <v>21</v>
      </c>
      <c r="J46" s="15" t="s">
        <v>23</v>
      </c>
      <c r="K46" s="15">
        <v>14138</v>
      </c>
      <c r="L46" s="15" t="s">
        <v>21</v>
      </c>
      <c r="M46" s="17">
        <v>17</v>
      </c>
      <c r="N46" s="17">
        <f t="shared" si="5"/>
        <v>240346</v>
      </c>
      <c r="O46" s="17">
        <f t="shared" si="6"/>
        <v>2403.46</v>
      </c>
      <c r="P46" s="17">
        <f t="shared" si="7"/>
        <v>242749.46</v>
      </c>
      <c r="Q46" s="19">
        <v>469</v>
      </c>
    </row>
    <row r="47" spans="1:17" x14ac:dyDescent="0.25">
      <c r="A47" s="15" t="s">
        <v>20</v>
      </c>
      <c r="B47" s="16">
        <v>46093</v>
      </c>
      <c r="C47" s="19">
        <v>202611</v>
      </c>
      <c r="D47" s="15">
        <v>25205</v>
      </c>
      <c r="E47" s="15" t="s">
        <v>21</v>
      </c>
      <c r="F47" s="15" t="s">
        <v>24</v>
      </c>
      <c r="G47" s="15">
        <v>8</v>
      </c>
      <c r="H47" s="15" t="s">
        <v>21</v>
      </c>
      <c r="I47" s="15" t="s">
        <v>21</v>
      </c>
      <c r="J47" s="15" t="s">
        <v>23</v>
      </c>
      <c r="K47" s="15">
        <v>30787</v>
      </c>
      <c r="L47" s="15" t="s">
        <v>21</v>
      </c>
      <c r="M47" s="17">
        <v>17</v>
      </c>
      <c r="N47" s="17">
        <f t="shared" si="5"/>
        <v>523379</v>
      </c>
      <c r="O47" s="17">
        <f t="shared" si="6"/>
        <v>5233.79</v>
      </c>
      <c r="P47" s="17">
        <f t="shared" si="7"/>
        <v>528612.79</v>
      </c>
      <c r="Q47" s="19">
        <v>469</v>
      </c>
    </row>
    <row r="48" spans="1:17" x14ac:dyDescent="0.25">
      <c r="A48" s="15" t="s">
        <v>20</v>
      </c>
      <c r="B48" s="16">
        <v>46093</v>
      </c>
      <c r="C48" s="19">
        <v>202611</v>
      </c>
      <c r="D48" s="15">
        <v>25206</v>
      </c>
      <c r="E48" s="15" t="s">
        <v>21</v>
      </c>
      <c r="F48" s="15" t="s">
        <v>36</v>
      </c>
      <c r="G48" s="15">
        <v>2</v>
      </c>
      <c r="H48" s="15" t="s">
        <v>21</v>
      </c>
      <c r="I48" s="15" t="s">
        <v>21</v>
      </c>
      <c r="J48" s="15" t="s">
        <v>23</v>
      </c>
      <c r="K48" s="15">
        <v>14336</v>
      </c>
      <c r="L48" s="15" t="s">
        <v>21</v>
      </c>
      <c r="M48" s="17">
        <v>17</v>
      </c>
      <c r="N48" s="17">
        <f t="shared" si="5"/>
        <v>243712</v>
      </c>
      <c r="O48" s="17">
        <f t="shared" si="6"/>
        <v>2437.12</v>
      </c>
      <c r="P48" s="17">
        <f t="shared" si="7"/>
        <v>246149.12</v>
      </c>
      <c r="Q48" s="19">
        <v>469</v>
      </c>
    </row>
    <row r="49" spans="1:17" x14ac:dyDescent="0.25">
      <c r="A49" s="15" t="s">
        <v>20</v>
      </c>
      <c r="B49" s="16">
        <v>46094</v>
      </c>
      <c r="C49" s="19">
        <v>202611</v>
      </c>
      <c r="D49" s="15">
        <v>25205</v>
      </c>
      <c r="E49" s="15" t="s">
        <v>21</v>
      </c>
      <c r="F49" s="15" t="s">
        <v>24</v>
      </c>
      <c r="G49" s="15">
        <v>7</v>
      </c>
      <c r="H49" s="15" t="s">
        <v>21</v>
      </c>
      <c r="I49" s="15" t="s">
        <v>21</v>
      </c>
      <c r="J49" s="15" t="s">
        <v>23</v>
      </c>
      <c r="K49" s="15">
        <v>29302</v>
      </c>
      <c r="L49" s="15" t="s">
        <v>21</v>
      </c>
      <c r="M49" s="17">
        <v>17</v>
      </c>
      <c r="N49" s="17">
        <f t="shared" si="5"/>
        <v>498134</v>
      </c>
      <c r="O49" s="17">
        <f t="shared" si="6"/>
        <v>4981.34</v>
      </c>
      <c r="P49" s="17">
        <f t="shared" si="7"/>
        <v>503115.34</v>
      </c>
      <c r="Q49" s="19">
        <v>469</v>
      </c>
    </row>
    <row r="50" spans="1:17" x14ac:dyDescent="0.25">
      <c r="A50" s="15" t="s">
        <v>20</v>
      </c>
      <c r="B50" s="16">
        <v>46094</v>
      </c>
      <c r="C50" s="19">
        <v>202611</v>
      </c>
      <c r="D50" s="15">
        <v>25206</v>
      </c>
      <c r="E50" s="15" t="s">
        <v>21</v>
      </c>
      <c r="F50" s="15" t="s">
        <v>36</v>
      </c>
      <c r="G50" s="15">
        <v>2</v>
      </c>
      <c r="H50" s="15" t="s">
        <v>21</v>
      </c>
      <c r="I50" s="15" t="s">
        <v>21</v>
      </c>
      <c r="J50" s="15" t="s">
        <v>23</v>
      </c>
      <c r="K50" s="15">
        <v>13320</v>
      </c>
      <c r="L50" s="15" t="s">
        <v>21</v>
      </c>
      <c r="M50" s="17">
        <v>17</v>
      </c>
      <c r="N50" s="17">
        <f t="shared" si="5"/>
        <v>226440</v>
      </c>
      <c r="O50" s="17">
        <f t="shared" si="6"/>
        <v>2264.4</v>
      </c>
      <c r="P50" s="17">
        <f t="shared" si="7"/>
        <v>228704.4</v>
      </c>
      <c r="Q50" s="19">
        <v>469</v>
      </c>
    </row>
    <row r="51" spans="1:17" x14ac:dyDescent="0.25">
      <c r="A51" s="15" t="s">
        <v>20</v>
      </c>
      <c r="B51" s="16">
        <v>46095</v>
      </c>
      <c r="C51" s="19">
        <v>202611</v>
      </c>
      <c r="D51" s="15">
        <v>25205</v>
      </c>
      <c r="E51" s="15" t="s">
        <v>21</v>
      </c>
      <c r="F51" s="15" t="s">
        <v>24</v>
      </c>
      <c r="G51" s="15">
        <v>4</v>
      </c>
      <c r="H51" s="15" t="s">
        <v>21</v>
      </c>
      <c r="I51" s="15" t="s">
        <v>21</v>
      </c>
      <c r="J51" s="15" t="s">
        <v>23</v>
      </c>
      <c r="K51" s="15">
        <v>19650</v>
      </c>
      <c r="L51" s="15" t="s">
        <v>21</v>
      </c>
      <c r="M51" s="17">
        <v>17</v>
      </c>
      <c r="N51" s="17">
        <f t="shared" si="5"/>
        <v>334050</v>
      </c>
      <c r="O51" s="17">
        <f t="shared" si="6"/>
        <v>3340.5</v>
      </c>
      <c r="P51" s="17">
        <f t="shared" si="7"/>
        <v>337390.5</v>
      </c>
      <c r="Q51" s="19">
        <v>469</v>
      </c>
    </row>
    <row r="52" spans="1:17" x14ac:dyDescent="0.25">
      <c r="A52" s="15" t="s">
        <v>20</v>
      </c>
      <c r="B52" s="16">
        <v>46090</v>
      </c>
      <c r="C52" s="19">
        <v>202611</v>
      </c>
      <c r="D52" s="15">
        <v>25205</v>
      </c>
      <c r="E52" s="15" t="s">
        <v>21</v>
      </c>
      <c r="F52" s="15" t="s">
        <v>30</v>
      </c>
      <c r="G52" s="15">
        <v>1</v>
      </c>
      <c r="H52" s="15" t="s">
        <v>21</v>
      </c>
      <c r="I52" s="15" t="s">
        <v>21</v>
      </c>
      <c r="J52" s="18" t="s">
        <v>31</v>
      </c>
      <c r="K52" s="15">
        <v>5</v>
      </c>
      <c r="L52" s="15" t="s">
        <v>21</v>
      </c>
      <c r="M52" s="17">
        <v>4000</v>
      </c>
      <c r="N52" s="17">
        <f>+M52*K52</f>
        <v>20000</v>
      </c>
      <c r="O52" s="17">
        <f t="shared" si="6"/>
        <v>200</v>
      </c>
      <c r="P52" s="17">
        <f t="shared" si="7"/>
        <v>20200</v>
      </c>
      <c r="Q52" s="19">
        <v>467</v>
      </c>
    </row>
    <row r="53" spans="1:17" x14ac:dyDescent="0.25">
      <c r="A53" s="15" t="s">
        <v>20</v>
      </c>
      <c r="B53" s="16">
        <v>46091</v>
      </c>
      <c r="C53" s="19">
        <v>202611</v>
      </c>
      <c r="D53" s="15">
        <v>25205</v>
      </c>
      <c r="E53" s="15" t="s">
        <v>21</v>
      </c>
      <c r="F53" s="15" t="s">
        <v>30</v>
      </c>
      <c r="G53" s="15">
        <v>2</v>
      </c>
      <c r="H53" s="15" t="s">
        <v>21</v>
      </c>
      <c r="I53" s="15" t="s">
        <v>21</v>
      </c>
      <c r="J53" s="18" t="s">
        <v>31</v>
      </c>
      <c r="K53" s="15">
        <v>10</v>
      </c>
      <c r="L53" s="15" t="s">
        <v>21</v>
      </c>
      <c r="M53" s="17">
        <v>4000</v>
      </c>
      <c r="N53" s="17">
        <f t="shared" ref="N53:N116" si="8">+M53*K53</f>
        <v>40000</v>
      </c>
      <c r="O53" s="17">
        <f t="shared" si="6"/>
        <v>400</v>
      </c>
      <c r="P53" s="17">
        <f t="shared" si="7"/>
        <v>40400</v>
      </c>
      <c r="Q53" s="19">
        <v>467</v>
      </c>
    </row>
    <row r="54" spans="1:17" x14ac:dyDescent="0.25">
      <c r="A54" s="15" t="s">
        <v>20</v>
      </c>
      <c r="B54" s="16">
        <v>46092</v>
      </c>
      <c r="C54" s="19">
        <v>202611</v>
      </c>
      <c r="D54" s="15">
        <v>25205</v>
      </c>
      <c r="E54" s="15" t="s">
        <v>21</v>
      </c>
      <c r="F54" s="15" t="s">
        <v>30</v>
      </c>
      <c r="G54" s="15">
        <v>2</v>
      </c>
      <c r="H54" s="15" t="s">
        <v>21</v>
      </c>
      <c r="I54" s="15" t="s">
        <v>21</v>
      </c>
      <c r="J54" s="18" t="s">
        <v>31</v>
      </c>
      <c r="K54" s="15">
        <v>10</v>
      </c>
      <c r="L54" s="15" t="s">
        <v>21</v>
      </c>
      <c r="M54" s="17">
        <v>4000</v>
      </c>
      <c r="N54" s="17">
        <f t="shared" si="8"/>
        <v>40000</v>
      </c>
      <c r="O54" s="17">
        <f t="shared" si="6"/>
        <v>400</v>
      </c>
      <c r="P54" s="17">
        <f t="shared" si="7"/>
        <v>40400</v>
      </c>
      <c r="Q54" s="19">
        <v>467</v>
      </c>
    </row>
    <row r="55" spans="1:17" x14ac:dyDescent="0.25">
      <c r="A55" s="15" t="s">
        <v>20</v>
      </c>
      <c r="B55" s="16">
        <v>46093</v>
      </c>
      <c r="C55" s="19">
        <v>202611</v>
      </c>
      <c r="D55" s="15">
        <v>25205</v>
      </c>
      <c r="E55" s="15" t="s">
        <v>21</v>
      </c>
      <c r="F55" s="15" t="s">
        <v>30</v>
      </c>
      <c r="G55" s="15">
        <v>2</v>
      </c>
      <c r="H55" s="15" t="s">
        <v>21</v>
      </c>
      <c r="I55" s="15" t="s">
        <v>21</v>
      </c>
      <c r="J55" s="18" t="s">
        <v>31</v>
      </c>
      <c r="K55" s="15">
        <v>10</v>
      </c>
      <c r="L55" s="15" t="s">
        <v>21</v>
      </c>
      <c r="M55" s="17">
        <v>4000</v>
      </c>
      <c r="N55" s="17">
        <f t="shared" si="8"/>
        <v>40000</v>
      </c>
      <c r="O55" s="17">
        <f t="shared" si="6"/>
        <v>400</v>
      </c>
      <c r="P55" s="17">
        <f t="shared" si="7"/>
        <v>40400</v>
      </c>
      <c r="Q55" s="19">
        <v>467</v>
      </c>
    </row>
    <row r="56" spans="1:17" x14ac:dyDescent="0.25">
      <c r="A56" s="15" t="s">
        <v>20</v>
      </c>
      <c r="B56" s="16">
        <v>46094</v>
      </c>
      <c r="C56" s="19">
        <v>202611</v>
      </c>
      <c r="D56" s="15">
        <v>25205</v>
      </c>
      <c r="E56" s="15" t="s">
        <v>21</v>
      </c>
      <c r="F56" s="15" t="s">
        <v>30</v>
      </c>
      <c r="G56" s="15">
        <v>2</v>
      </c>
      <c r="H56" s="15" t="s">
        <v>21</v>
      </c>
      <c r="I56" s="15" t="s">
        <v>21</v>
      </c>
      <c r="J56" s="18" t="s">
        <v>31</v>
      </c>
      <c r="K56" s="15">
        <v>10</v>
      </c>
      <c r="L56" s="15" t="s">
        <v>21</v>
      </c>
      <c r="M56" s="17">
        <v>4000</v>
      </c>
      <c r="N56" s="17">
        <f t="shared" si="8"/>
        <v>40000</v>
      </c>
      <c r="O56" s="17">
        <f t="shared" si="6"/>
        <v>400</v>
      </c>
      <c r="P56" s="17">
        <f t="shared" si="7"/>
        <v>40400</v>
      </c>
      <c r="Q56" s="19">
        <v>467</v>
      </c>
    </row>
    <row r="57" spans="1:17" x14ac:dyDescent="0.25">
      <c r="A57" s="15" t="s">
        <v>20</v>
      </c>
      <c r="B57" s="16">
        <v>46095</v>
      </c>
      <c r="C57" s="19">
        <v>202611</v>
      </c>
      <c r="D57" s="15">
        <v>25205</v>
      </c>
      <c r="E57" s="15" t="s">
        <v>21</v>
      </c>
      <c r="F57" s="15" t="s">
        <v>30</v>
      </c>
      <c r="G57" s="15">
        <v>2</v>
      </c>
      <c r="H57" s="15" t="s">
        <v>21</v>
      </c>
      <c r="I57" s="15" t="s">
        <v>21</v>
      </c>
      <c r="J57" s="18" t="s">
        <v>31</v>
      </c>
      <c r="K57" s="15">
        <v>8</v>
      </c>
      <c r="L57" s="15" t="s">
        <v>21</v>
      </c>
      <c r="M57" s="17">
        <v>4000</v>
      </c>
      <c r="N57" s="17">
        <f t="shared" si="8"/>
        <v>32000</v>
      </c>
      <c r="O57" s="17">
        <f t="shared" si="6"/>
        <v>320</v>
      </c>
      <c r="P57" s="17">
        <f t="shared" si="7"/>
        <v>32320</v>
      </c>
      <c r="Q57" s="19">
        <v>467</v>
      </c>
    </row>
    <row r="58" spans="1:17" x14ac:dyDescent="0.25">
      <c r="A58" s="15" t="s">
        <v>20</v>
      </c>
      <c r="B58" s="16">
        <v>46090</v>
      </c>
      <c r="C58" s="19">
        <v>202611</v>
      </c>
      <c r="D58" s="15">
        <v>25201</v>
      </c>
      <c r="E58" s="15" t="s">
        <v>21</v>
      </c>
      <c r="F58" s="18" t="s">
        <v>29</v>
      </c>
      <c r="G58" s="15">
        <v>5</v>
      </c>
      <c r="H58" s="15" t="s">
        <v>21</v>
      </c>
      <c r="I58" s="15" t="s">
        <v>21</v>
      </c>
      <c r="J58" s="15" t="s">
        <v>27</v>
      </c>
      <c r="K58" s="15">
        <v>40</v>
      </c>
      <c r="L58" s="15" t="s">
        <v>21</v>
      </c>
      <c r="M58" s="17">
        <v>1800</v>
      </c>
      <c r="N58" s="17">
        <f t="shared" si="8"/>
        <v>72000</v>
      </c>
      <c r="O58" s="17">
        <f t="shared" si="6"/>
        <v>720</v>
      </c>
      <c r="P58" s="17">
        <f t="shared" si="7"/>
        <v>72720</v>
      </c>
      <c r="Q58" s="19">
        <v>468</v>
      </c>
    </row>
    <row r="59" spans="1:17" x14ac:dyDescent="0.25">
      <c r="A59" s="15" t="s">
        <v>20</v>
      </c>
      <c r="B59" s="16">
        <v>46091</v>
      </c>
      <c r="C59" s="19">
        <v>202611</v>
      </c>
      <c r="D59" s="15">
        <v>25201</v>
      </c>
      <c r="E59" s="15" t="s">
        <v>21</v>
      </c>
      <c r="F59" s="18" t="s">
        <v>29</v>
      </c>
      <c r="G59" s="15">
        <v>5</v>
      </c>
      <c r="H59" s="15" t="s">
        <v>21</v>
      </c>
      <c r="I59" s="15" t="s">
        <v>21</v>
      </c>
      <c r="J59" s="15" t="s">
        <v>27</v>
      </c>
      <c r="K59" s="15">
        <v>40</v>
      </c>
      <c r="L59" s="15" t="s">
        <v>21</v>
      </c>
      <c r="M59" s="17">
        <v>1800</v>
      </c>
      <c r="N59" s="17">
        <f t="shared" si="8"/>
        <v>72000</v>
      </c>
      <c r="O59" s="17">
        <f t="shared" si="6"/>
        <v>720</v>
      </c>
      <c r="P59" s="17">
        <f t="shared" si="7"/>
        <v>72720</v>
      </c>
      <c r="Q59" s="19">
        <v>468</v>
      </c>
    </row>
    <row r="60" spans="1:17" x14ac:dyDescent="0.25">
      <c r="A60" s="15" t="s">
        <v>20</v>
      </c>
      <c r="B60" s="16">
        <v>46092</v>
      </c>
      <c r="C60" s="19">
        <v>202611</v>
      </c>
      <c r="D60" s="15">
        <v>25201</v>
      </c>
      <c r="E60" s="15" t="s">
        <v>21</v>
      </c>
      <c r="F60" s="18" t="s">
        <v>29</v>
      </c>
      <c r="G60" s="15">
        <v>5</v>
      </c>
      <c r="H60" s="15" t="s">
        <v>21</v>
      </c>
      <c r="I60" s="15" t="s">
        <v>21</v>
      </c>
      <c r="J60" s="15" t="s">
        <v>27</v>
      </c>
      <c r="K60" s="15">
        <v>38</v>
      </c>
      <c r="L60" s="15" t="s">
        <v>21</v>
      </c>
      <c r="M60" s="17">
        <v>1800</v>
      </c>
      <c r="N60" s="17">
        <f t="shared" si="8"/>
        <v>68400</v>
      </c>
      <c r="O60" s="17">
        <f t="shared" si="6"/>
        <v>684</v>
      </c>
      <c r="P60" s="17">
        <f t="shared" si="7"/>
        <v>69084</v>
      </c>
      <c r="Q60" s="19">
        <v>468</v>
      </c>
    </row>
    <row r="61" spans="1:17" x14ac:dyDescent="0.25">
      <c r="A61" s="15" t="s">
        <v>20</v>
      </c>
      <c r="B61" s="16">
        <v>46093</v>
      </c>
      <c r="C61" s="19">
        <v>202611</v>
      </c>
      <c r="D61" s="15">
        <v>25201</v>
      </c>
      <c r="E61" s="15" t="s">
        <v>21</v>
      </c>
      <c r="F61" s="18" t="s">
        <v>29</v>
      </c>
      <c r="G61" s="15">
        <v>6</v>
      </c>
      <c r="H61" s="15" t="s">
        <v>21</v>
      </c>
      <c r="I61" s="15" t="s">
        <v>21</v>
      </c>
      <c r="J61" s="15" t="s">
        <v>27</v>
      </c>
      <c r="K61" s="15">
        <v>48</v>
      </c>
      <c r="L61" s="15" t="s">
        <v>21</v>
      </c>
      <c r="M61" s="17">
        <v>1800</v>
      </c>
      <c r="N61" s="17">
        <f t="shared" si="8"/>
        <v>86400</v>
      </c>
      <c r="O61" s="17">
        <f t="shared" si="6"/>
        <v>864</v>
      </c>
      <c r="P61" s="17">
        <f t="shared" si="7"/>
        <v>87264</v>
      </c>
      <c r="Q61" s="19">
        <v>468</v>
      </c>
    </row>
    <row r="62" spans="1:17" x14ac:dyDescent="0.25">
      <c r="A62" s="15" t="s">
        <v>20</v>
      </c>
      <c r="B62" s="16">
        <v>46094</v>
      </c>
      <c r="C62" s="19">
        <v>202611</v>
      </c>
      <c r="D62" s="15">
        <v>25201</v>
      </c>
      <c r="E62" s="15" t="s">
        <v>21</v>
      </c>
      <c r="F62" s="18" t="s">
        <v>29</v>
      </c>
      <c r="G62" s="15">
        <v>5</v>
      </c>
      <c r="H62" s="15" t="s">
        <v>21</v>
      </c>
      <c r="I62" s="15" t="s">
        <v>21</v>
      </c>
      <c r="J62" s="15" t="s">
        <v>27</v>
      </c>
      <c r="K62" s="15">
        <v>40</v>
      </c>
      <c r="L62" s="15" t="s">
        <v>21</v>
      </c>
      <c r="M62" s="17">
        <v>1800</v>
      </c>
      <c r="N62" s="17">
        <f t="shared" si="8"/>
        <v>72000</v>
      </c>
      <c r="O62" s="17">
        <f t="shared" si="6"/>
        <v>720</v>
      </c>
      <c r="P62" s="17">
        <f t="shared" si="7"/>
        <v>72720</v>
      </c>
      <c r="Q62" s="19">
        <v>468</v>
      </c>
    </row>
    <row r="63" spans="1:17" x14ac:dyDescent="0.25">
      <c r="A63" s="15" t="s">
        <v>20</v>
      </c>
      <c r="B63" s="16">
        <v>46095</v>
      </c>
      <c r="C63" s="19">
        <v>202611</v>
      </c>
      <c r="D63" s="15">
        <v>25201</v>
      </c>
      <c r="E63" s="15" t="s">
        <v>21</v>
      </c>
      <c r="F63" s="18" t="s">
        <v>29</v>
      </c>
      <c r="G63" s="15">
        <v>4</v>
      </c>
      <c r="H63" s="15" t="s">
        <v>21</v>
      </c>
      <c r="I63" s="15" t="s">
        <v>21</v>
      </c>
      <c r="J63" s="15" t="s">
        <v>27</v>
      </c>
      <c r="K63" s="15">
        <v>32</v>
      </c>
      <c r="L63" s="15" t="s">
        <v>21</v>
      </c>
      <c r="M63" s="17">
        <v>1800</v>
      </c>
      <c r="N63" s="17">
        <f t="shared" si="8"/>
        <v>57600</v>
      </c>
      <c r="O63" s="17">
        <f t="shared" si="6"/>
        <v>576</v>
      </c>
      <c r="P63" s="17">
        <f t="shared" si="7"/>
        <v>58176</v>
      </c>
      <c r="Q63" s="19">
        <v>468</v>
      </c>
    </row>
    <row r="64" spans="1:17" x14ac:dyDescent="0.25">
      <c r="A64" s="15" t="s">
        <v>20</v>
      </c>
      <c r="B64" s="16">
        <v>46090</v>
      </c>
      <c r="C64" s="19">
        <v>202611</v>
      </c>
      <c r="D64" s="15">
        <v>26210</v>
      </c>
      <c r="E64" s="15" t="s">
        <v>21</v>
      </c>
      <c r="F64" s="18" t="s">
        <v>37</v>
      </c>
      <c r="G64" s="15">
        <v>2</v>
      </c>
      <c r="H64" s="15" t="s">
        <v>21</v>
      </c>
      <c r="I64" s="15" t="s">
        <v>21</v>
      </c>
      <c r="J64" s="15" t="s">
        <v>23</v>
      </c>
      <c r="K64" s="15">
        <v>22500</v>
      </c>
      <c r="L64" s="15" t="s">
        <v>21</v>
      </c>
      <c r="M64" s="17">
        <v>2</v>
      </c>
      <c r="N64" s="17">
        <f t="shared" si="8"/>
        <v>45000</v>
      </c>
      <c r="O64" s="17">
        <f t="shared" si="6"/>
        <v>450</v>
      </c>
      <c r="P64" s="17">
        <f t="shared" si="7"/>
        <v>45450</v>
      </c>
      <c r="Q64" s="19">
        <v>472</v>
      </c>
    </row>
    <row r="65" spans="1:18" x14ac:dyDescent="0.25">
      <c r="A65" s="15" t="s">
        <v>20</v>
      </c>
      <c r="B65" s="16">
        <v>46091</v>
      </c>
      <c r="C65" s="19">
        <v>202611</v>
      </c>
      <c r="D65" s="15">
        <v>26210</v>
      </c>
      <c r="E65" s="15" t="s">
        <v>21</v>
      </c>
      <c r="F65" s="18" t="s">
        <v>37</v>
      </c>
      <c r="G65" s="15">
        <v>2</v>
      </c>
      <c r="H65" s="15" t="s">
        <v>21</v>
      </c>
      <c r="I65" s="15" t="s">
        <v>21</v>
      </c>
      <c r="J65" s="15" t="s">
        <v>23</v>
      </c>
      <c r="K65" s="15">
        <v>27940</v>
      </c>
      <c r="L65" s="15" t="s">
        <v>21</v>
      </c>
      <c r="M65" s="17">
        <v>2</v>
      </c>
      <c r="N65" s="17">
        <f t="shared" si="8"/>
        <v>55880</v>
      </c>
      <c r="O65" s="17">
        <f t="shared" si="6"/>
        <v>558.80000000000007</v>
      </c>
      <c r="P65" s="17">
        <f t="shared" si="7"/>
        <v>56438.8</v>
      </c>
      <c r="Q65" s="19">
        <v>472</v>
      </c>
    </row>
    <row r="66" spans="1:18" x14ac:dyDescent="0.25">
      <c r="A66" s="15" t="s">
        <v>20</v>
      </c>
      <c r="B66" s="16">
        <v>46092</v>
      </c>
      <c r="C66" s="19">
        <v>202611</v>
      </c>
      <c r="D66" s="15">
        <v>25206</v>
      </c>
      <c r="E66" s="15" t="s">
        <v>21</v>
      </c>
      <c r="F66" s="18" t="s">
        <v>37</v>
      </c>
      <c r="G66" s="15">
        <v>2</v>
      </c>
      <c r="H66" s="15" t="s">
        <v>21</v>
      </c>
      <c r="I66" s="15" t="s">
        <v>21</v>
      </c>
      <c r="J66" s="15" t="s">
        <v>23</v>
      </c>
      <c r="K66" s="15">
        <v>36480</v>
      </c>
      <c r="L66" s="15" t="s">
        <v>21</v>
      </c>
      <c r="M66" s="17">
        <v>2</v>
      </c>
      <c r="N66" s="17">
        <f t="shared" si="8"/>
        <v>72960</v>
      </c>
      <c r="O66" s="17">
        <f t="shared" si="6"/>
        <v>729.6</v>
      </c>
      <c r="P66" s="17">
        <f t="shared" si="7"/>
        <v>73689.600000000006</v>
      </c>
      <c r="Q66" s="19">
        <v>472</v>
      </c>
    </row>
    <row r="67" spans="1:18" x14ac:dyDescent="0.25">
      <c r="A67" s="15" t="s">
        <v>20</v>
      </c>
      <c r="B67" s="16">
        <v>46093</v>
      </c>
      <c r="C67" s="19">
        <v>202611</v>
      </c>
      <c r="D67" s="15">
        <v>25206</v>
      </c>
      <c r="E67" s="15" t="s">
        <v>21</v>
      </c>
      <c r="F67" s="18" t="s">
        <v>37</v>
      </c>
      <c r="G67" s="15">
        <v>2</v>
      </c>
      <c r="H67" s="15" t="s">
        <v>21</v>
      </c>
      <c r="I67" s="15" t="s">
        <v>21</v>
      </c>
      <c r="J67" s="15" t="s">
        <v>23</v>
      </c>
      <c r="K67" s="15">
        <v>14096</v>
      </c>
      <c r="L67" s="15" t="s">
        <v>21</v>
      </c>
      <c r="M67" s="17">
        <v>2</v>
      </c>
      <c r="N67" s="17">
        <f t="shared" si="8"/>
        <v>28192</v>
      </c>
      <c r="O67" s="17">
        <f t="shared" si="6"/>
        <v>281.92</v>
      </c>
      <c r="P67" s="17">
        <f t="shared" si="7"/>
        <v>28473.919999999998</v>
      </c>
      <c r="Q67" s="19">
        <v>472</v>
      </c>
    </row>
    <row r="68" spans="1:18" x14ac:dyDescent="0.25">
      <c r="A68" s="15" t="s">
        <v>20</v>
      </c>
      <c r="B68" s="16">
        <v>46094</v>
      </c>
      <c r="C68" s="19">
        <v>202611</v>
      </c>
      <c r="D68" s="15">
        <v>25205</v>
      </c>
      <c r="E68" s="15" t="s">
        <v>21</v>
      </c>
      <c r="F68" s="18" t="s">
        <v>37</v>
      </c>
      <c r="G68" s="15">
        <v>2</v>
      </c>
      <c r="H68" s="15" t="s">
        <v>21</v>
      </c>
      <c r="I68" s="15" t="s">
        <v>21</v>
      </c>
      <c r="J68" s="15" t="s">
        <v>23</v>
      </c>
      <c r="K68" s="15">
        <v>33246</v>
      </c>
      <c r="L68" s="15" t="s">
        <v>21</v>
      </c>
      <c r="M68" s="17">
        <v>2</v>
      </c>
      <c r="N68" s="17">
        <f t="shared" si="8"/>
        <v>66492</v>
      </c>
      <c r="O68" s="17">
        <f t="shared" si="6"/>
        <v>664.92</v>
      </c>
      <c r="P68" s="17">
        <f t="shared" si="7"/>
        <v>67156.92</v>
      </c>
      <c r="Q68" s="19">
        <v>472</v>
      </c>
    </row>
    <row r="69" spans="1:18" x14ac:dyDescent="0.25">
      <c r="A69" s="15" t="s">
        <v>20</v>
      </c>
      <c r="B69" s="16">
        <v>46095</v>
      </c>
      <c r="C69" s="19">
        <v>202611</v>
      </c>
      <c r="D69" s="15">
        <v>25205</v>
      </c>
      <c r="E69" s="15" t="s">
        <v>21</v>
      </c>
      <c r="F69" s="18" t="s">
        <v>37</v>
      </c>
      <c r="G69" s="15">
        <v>2</v>
      </c>
      <c r="H69" s="15" t="s">
        <v>21</v>
      </c>
      <c r="I69" s="15" t="s">
        <v>21</v>
      </c>
      <c r="J69" s="15" t="s">
        <v>23</v>
      </c>
      <c r="K69" s="15">
        <v>8992</v>
      </c>
      <c r="L69" s="15" t="s">
        <v>21</v>
      </c>
      <c r="M69" s="17">
        <v>2</v>
      </c>
      <c r="N69" s="17">
        <f t="shared" si="8"/>
        <v>17984</v>
      </c>
      <c r="O69" s="17">
        <f t="shared" si="6"/>
        <v>179.84</v>
      </c>
      <c r="P69" s="17">
        <f t="shared" si="7"/>
        <v>18163.84</v>
      </c>
      <c r="Q69" s="19">
        <v>472</v>
      </c>
    </row>
    <row r="70" spans="1:18" x14ac:dyDescent="0.25">
      <c r="A70" s="15" t="s">
        <v>20</v>
      </c>
      <c r="B70" s="16">
        <v>46090</v>
      </c>
      <c r="C70" s="19">
        <v>202611</v>
      </c>
      <c r="D70" s="15">
        <v>25205</v>
      </c>
      <c r="E70" s="15" t="s">
        <v>21</v>
      </c>
      <c r="F70" s="18" t="s">
        <v>37</v>
      </c>
      <c r="G70" s="15">
        <v>3</v>
      </c>
      <c r="H70" s="15">
        <v>24</v>
      </c>
      <c r="I70" s="15" t="s">
        <v>21</v>
      </c>
      <c r="J70" s="15" t="s">
        <v>23</v>
      </c>
      <c r="K70" s="15">
        <v>24</v>
      </c>
      <c r="L70" s="15" t="s">
        <v>21</v>
      </c>
      <c r="M70" s="17">
        <v>1800</v>
      </c>
      <c r="N70" s="17">
        <f t="shared" si="8"/>
        <v>43200</v>
      </c>
      <c r="O70" s="17">
        <f t="shared" si="6"/>
        <v>432</v>
      </c>
      <c r="P70" s="17">
        <f t="shared" si="7"/>
        <v>43632</v>
      </c>
      <c r="Q70" s="19">
        <v>470</v>
      </c>
    </row>
    <row r="71" spans="1:18" x14ac:dyDescent="0.25">
      <c r="A71" s="15" t="s">
        <v>20</v>
      </c>
      <c r="B71" s="16">
        <v>46093</v>
      </c>
      <c r="C71" s="19">
        <v>202611</v>
      </c>
      <c r="D71" s="15">
        <v>25201</v>
      </c>
      <c r="E71" s="15" t="s">
        <v>21</v>
      </c>
      <c r="F71" s="15" t="s">
        <v>38</v>
      </c>
      <c r="G71" s="15">
        <v>2</v>
      </c>
      <c r="H71" s="15">
        <v>6</v>
      </c>
      <c r="I71" s="15" t="s">
        <v>21</v>
      </c>
      <c r="J71" s="15" t="s">
        <v>27</v>
      </c>
      <c r="K71" s="15">
        <v>6</v>
      </c>
      <c r="L71" s="15" t="s">
        <v>21</v>
      </c>
      <c r="M71" s="17">
        <v>1800</v>
      </c>
      <c r="N71" s="17">
        <f t="shared" si="8"/>
        <v>10800</v>
      </c>
      <c r="O71" s="17">
        <f t="shared" si="6"/>
        <v>108</v>
      </c>
      <c r="P71" s="17">
        <f t="shared" si="7"/>
        <v>10908</v>
      </c>
      <c r="Q71" s="19">
        <v>468</v>
      </c>
    </row>
    <row r="72" spans="1:18" x14ac:dyDescent="0.25">
      <c r="A72" s="15" t="s">
        <v>20</v>
      </c>
      <c r="B72" s="16">
        <v>46095</v>
      </c>
      <c r="C72" s="19">
        <v>202611</v>
      </c>
      <c r="D72" s="15">
        <v>25206</v>
      </c>
      <c r="E72" s="15" t="s">
        <v>21</v>
      </c>
      <c r="F72" s="15" t="s">
        <v>39</v>
      </c>
      <c r="G72" s="15">
        <v>0</v>
      </c>
      <c r="H72" s="15">
        <v>1</v>
      </c>
      <c r="I72" s="15" t="s">
        <v>21</v>
      </c>
      <c r="J72" s="15" t="s">
        <v>23</v>
      </c>
      <c r="K72" s="15">
        <v>1</v>
      </c>
      <c r="L72" s="15" t="s">
        <v>21</v>
      </c>
      <c r="M72" s="17">
        <v>80000</v>
      </c>
      <c r="N72" s="17">
        <f t="shared" si="8"/>
        <v>80000</v>
      </c>
      <c r="O72" s="17">
        <f t="shared" si="6"/>
        <v>800</v>
      </c>
      <c r="P72" s="17">
        <f t="shared" si="7"/>
        <v>80800</v>
      </c>
      <c r="Q72" s="19">
        <v>471</v>
      </c>
      <c r="R72" s="20"/>
    </row>
    <row r="73" spans="1:18" x14ac:dyDescent="0.25">
      <c r="A73" s="15" t="s">
        <v>20</v>
      </c>
      <c r="B73" s="16">
        <v>46095</v>
      </c>
      <c r="C73" s="19">
        <v>202611</v>
      </c>
      <c r="D73" s="15">
        <v>25206</v>
      </c>
      <c r="E73" s="15" t="s">
        <v>21</v>
      </c>
      <c r="F73" s="15" t="s">
        <v>40</v>
      </c>
      <c r="G73" s="15">
        <v>0</v>
      </c>
      <c r="H73" s="15">
        <v>335</v>
      </c>
      <c r="I73" s="15" t="s">
        <v>21</v>
      </c>
      <c r="J73" s="15" t="s">
        <v>27</v>
      </c>
      <c r="K73" s="15">
        <v>335</v>
      </c>
      <c r="L73" s="15" t="s">
        <v>21</v>
      </c>
      <c r="M73" s="17">
        <v>1800</v>
      </c>
      <c r="N73" s="17">
        <f t="shared" si="8"/>
        <v>603000</v>
      </c>
      <c r="O73" s="17">
        <f t="shared" si="6"/>
        <v>6030</v>
      </c>
      <c r="P73" s="17">
        <f t="shared" si="7"/>
        <v>609030</v>
      </c>
      <c r="Q73" s="19">
        <v>468</v>
      </c>
      <c r="R73" s="20"/>
    </row>
    <row r="74" spans="1:18" x14ac:dyDescent="0.25">
      <c r="A74" s="15" t="s">
        <v>20</v>
      </c>
      <c r="B74" s="16">
        <v>46097</v>
      </c>
      <c r="C74" s="15">
        <v>202612</v>
      </c>
      <c r="D74" s="15">
        <v>25205</v>
      </c>
      <c r="E74" s="15" t="s">
        <v>21</v>
      </c>
      <c r="F74" s="15" t="s">
        <v>30</v>
      </c>
      <c r="G74" s="15">
        <v>2</v>
      </c>
      <c r="H74" s="15">
        <v>10</v>
      </c>
      <c r="I74" s="15" t="s">
        <v>21</v>
      </c>
      <c r="J74" s="18" t="s">
        <v>31</v>
      </c>
      <c r="K74" s="15">
        <v>10</v>
      </c>
      <c r="L74" s="15" t="s">
        <v>21</v>
      </c>
      <c r="M74" s="17">
        <v>4000</v>
      </c>
      <c r="N74" s="17">
        <f t="shared" si="8"/>
        <v>40000</v>
      </c>
      <c r="O74" s="17">
        <f>+N74*0.01</f>
        <v>400</v>
      </c>
      <c r="P74" s="17">
        <f>+N74+O74</f>
        <v>40400</v>
      </c>
      <c r="Q74" s="19">
        <v>492</v>
      </c>
      <c r="R74" s="20"/>
    </row>
    <row r="75" spans="1:18" x14ac:dyDescent="0.25">
      <c r="A75" s="15" t="s">
        <v>20</v>
      </c>
      <c r="B75" s="16">
        <v>46097</v>
      </c>
      <c r="C75" s="15">
        <v>202612</v>
      </c>
      <c r="D75" s="15">
        <v>25205</v>
      </c>
      <c r="E75" s="15" t="s">
        <v>21</v>
      </c>
      <c r="F75" s="18" t="s">
        <v>37</v>
      </c>
      <c r="G75" s="15">
        <v>2</v>
      </c>
      <c r="H75" s="15" t="s">
        <v>21</v>
      </c>
      <c r="I75" s="15" t="s">
        <v>21</v>
      </c>
      <c r="J75" s="15" t="s">
        <v>23</v>
      </c>
      <c r="K75" s="15">
        <v>20622</v>
      </c>
      <c r="L75" s="15" t="s">
        <v>21</v>
      </c>
      <c r="M75" s="17">
        <v>2</v>
      </c>
      <c r="N75" s="17">
        <f t="shared" si="8"/>
        <v>41244</v>
      </c>
      <c r="O75" s="17">
        <f t="shared" ref="O75:O101" si="9">+N75*0.01</f>
        <v>412.44</v>
      </c>
      <c r="P75" s="17">
        <f t="shared" ref="P75:P101" si="10">+N75+O75</f>
        <v>41656.44</v>
      </c>
      <c r="Q75" s="19">
        <v>490</v>
      </c>
      <c r="R75" s="20"/>
    </row>
    <row r="76" spans="1:18" x14ac:dyDescent="0.25">
      <c r="A76" s="15" t="s">
        <v>20</v>
      </c>
      <c r="B76" s="16">
        <v>46097</v>
      </c>
      <c r="C76" s="15">
        <v>202612</v>
      </c>
      <c r="D76" s="15">
        <v>25205</v>
      </c>
      <c r="E76" s="15" t="s">
        <v>21</v>
      </c>
      <c r="F76" s="18" t="s">
        <v>37</v>
      </c>
      <c r="G76" s="18">
        <v>2</v>
      </c>
      <c r="H76" s="15" t="s">
        <v>21</v>
      </c>
      <c r="I76" s="15" t="s">
        <v>21</v>
      </c>
      <c r="J76" s="15" t="s">
        <v>23</v>
      </c>
      <c r="K76" s="18">
        <v>22684</v>
      </c>
      <c r="L76" s="15" t="s">
        <v>21</v>
      </c>
      <c r="M76" s="17">
        <v>2</v>
      </c>
      <c r="N76" s="17">
        <f t="shared" si="8"/>
        <v>45368</v>
      </c>
      <c r="O76" s="17">
        <f t="shared" si="9"/>
        <v>453.68</v>
      </c>
      <c r="P76" s="17">
        <f t="shared" si="10"/>
        <v>45821.68</v>
      </c>
      <c r="Q76" s="19">
        <v>490</v>
      </c>
      <c r="R76" s="20"/>
    </row>
    <row r="77" spans="1:18" x14ac:dyDescent="0.25">
      <c r="A77" s="15" t="s">
        <v>20</v>
      </c>
      <c r="B77" s="16">
        <v>46097</v>
      </c>
      <c r="C77" s="15">
        <v>202612</v>
      </c>
      <c r="D77" s="15">
        <v>25205</v>
      </c>
      <c r="E77" s="15" t="s">
        <v>21</v>
      </c>
      <c r="F77" s="15" t="s">
        <v>24</v>
      </c>
      <c r="G77" s="18">
        <v>4</v>
      </c>
      <c r="H77" s="15" t="s">
        <v>21</v>
      </c>
      <c r="I77" s="15" t="s">
        <v>21</v>
      </c>
      <c r="J77" s="15" t="s">
        <v>23</v>
      </c>
      <c r="K77" s="18">
        <v>20146</v>
      </c>
      <c r="L77" s="15" t="s">
        <v>21</v>
      </c>
      <c r="M77" s="17">
        <v>17</v>
      </c>
      <c r="N77" s="17">
        <f t="shared" si="8"/>
        <v>342482</v>
      </c>
      <c r="O77" s="17">
        <f t="shared" si="9"/>
        <v>3424.82</v>
      </c>
      <c r="P77" s="17">
        <f t="shared" si="10"/>
        <v>345906.82</v>
      </c>
      <c r="Q77" s="19">
        <v>489</v>
      </c>
      <c r="R77" s="20"/>
    </row>
    <row r="78" spans="1:18" x14ac:dyDescent="0.25">
      <c r="A78" s="15" t="s">
        <v>20</v>
      </c>
      <c r="B78" s="16">
        <v>46097</v>
      </c>
      <c r="C78" s="15">
        <v>202612</v>
      </c>
      <c r="D78" s="15">
        <v>25206</v>
      </c>
      <c r="E78" s="15" t="s">
        <v>21</v>
      </c>
      <c r="F78" s="15" t="s">
        <v>24</v>
      </c>
      <c r="G78" s="18">
        <v>2</v>
      </c>
      <c r="H78" s="15" t="s">
        <v>21</v>
      </c>
      <c r="I78" s="15" t="s">
        <v>21</v>
      </c>
      <c r="J78" s="15" t="s">
        <v>23</v>
      </c>
      <c r="K78" s="18">
        <v>14544</v>
      </c>
      <c r="L78" s="15" t="s">
        <v>21</v>
      </c>
      <c r="M78" s="17">
        <v>17</v>
      </c>
      <c r="N78" s="17">
        <f t="shared" si="8"/>
        <v>247248</v>
      </c>
      <c r="O78" s="17">
        <f t="shared" si="9"/>
        <v>2472.48</v>
      </c>
      <c r="P78" s="17">
        <f t="shared" si="10"/>
        <v>249720.48</v>
      </c>
      <c r="Q78" s="19">
        <v>489</v>
      </c>
      <c r="R78" s="20"/>
    </row>
    <row r="79" spans="1:18" x14ac:dyDescent="0.25">
      <c r="A79" s="15" t="s">
        <v>20</v>
      </c>
      <c r="B79" s="16">
        <v>46097</v>
      </c>
      <c r="C79" s="15">
        <v>202612</v>
      </c>
      <c r="D79" s="18">
        <v>25201</v>
      </c>
      <c r="E79" s="15" t="s">
        <v>21</v>
      </c>
      <c r="F79" s="18" t="s">
        <v>29</v>
      </c>
      <c r="G79" s="18">
        <v>5</v>
      </c>
      <c r="H79" s="18">
        <v>40</v>
      </c>
      <c r="I79" s="15" t="s">
        <v>21</v>
      </c>
      <c r="J79" s="15" t="s">
        <v>27</v>
      </c>
      <c r="K79" s="18">
        <v>40</v>
      </c>
      <c r="L79" s="18">
        <v>0.2</v>
      </c>
      <c r="M79" s="17">
        <v>1800</v>
      </c>
      <c r="N79" s="17">
        <f t="shared" si="8"/>
        <v>72000</v>
      </c>
      <c r="O79" s="17">
        <f t="shared" si="9"/>
        <v>720</v>
      </c>
      <c r="P79" s="17">
        <f t="shared" si="10"/>
        <v>72720</v>
      </c>
      <c r="Q79" s="19">
        <v>491</v>
      </c>
      <c r="R79" s="20"/>
    </row>
    <row r="80" spans="1:18" x14ac:dyDescent="0.25">
      <c r="A80" s="15" t="s">
        <v>20</v>
      </c>
      <c r="B80" s="16">
        <v>46098</v>
      </c>
      <c r="C80" s="15">
        <v>202612</v>
      </c>
      <c r="D80" s="15">
        <v>25205</v>
      </c>
      <c r="E80" s="15" t="s">
        <v>21</v>
      </c>
      <c r="F80" s="15" t="s">
        <v>30</v>
      </c>
      <c r="G80" s="18">
        <v>2</v>
      </c>
      <c r="H80" s="18">
        <v>10</v>
      </c>
      <c r="I80" s="15" t="s">
        <v>21</v>
      </c>
      <c r="J80" s="18" t="s">
        <v>31</v>
      </c>
      <c r="K80" s="18">
        <v>10</v>
      </c>
      <c r="L80" s="15" t="s">
        <v>21</v>
      </c>
      <c r="M80" s="17">
        <v>4000</v>
      </c>
      <c r="N80" s="17">
        <f t="shared" si="8"/>
        <v>40000</v>
      </c>
      <c r="O80" s="17">
        <f t="shared" si="9"/>
        <v>400</v>
      </c>
      <c r="P80" s="17">
        <f t="shared" si="10"/>
        <v>40400</v>
      </c>
      <c r="Q80" s="19">
        <v>492</v>
      </c>
      <c r="R80" s="20"/>
    </row>
    <row r="81" spans="1:18" x14ac:dyDescent="0.25">
      <c r="A81" s="15" t="s">
        <v>20</v>
      </c>
      <c r="B81" s="16">
        <v>46098</v>
      </c>
      <c r="C81" s="15">
        <v>202612</v>
      </c>
      <c r="D81" s="15">
        <v>26210</v>
      </c>
      <c r="E81" s="15" t="s">
        <v>21</v>
      </c>
      <c r="F81" s="18" t="s">
        <v>37</v>
      </c>
      <c r="G81" s="15">
        <v>2</v>
      </c>
      <c r="H81" s="15" t="s">
        <v>21</v>
      </c>
      <c r="I81" s="15" t="s">
        <v>21</v>
      </c>
      <c r="J81" s="15" t="s">
        <v>23</v>
      </c>
      <c r="K81" s="15">
        <v>25504</v>
      </c>
      <c r="L81" s="15" t="s">
        <v>21</v>
      </c>
      <c r="M81" s="17">
        <v>2</v>
      </c>
      <c r="N81" s="17">
        <f t="shared" si="8"/>
        <v>51008</v>
      </c>
      <c r="O81" s="17">
        <f t="shared" si="9"/>
        <v>510.08</v>
      </c>
      <c r="P81" s="17">
        <f t="shared" si="10"/>
        <v>51518.080000000002</v>
      </c>
      <c r="Q81" s="19">
        <v>490</v>
      </c>
      <c r="R81" s="20"/>
    </row>
    <row r="82" spans="1:18" x14ac:dyDescent="0.25">
      <c r="A82" s="15" t="s">
        <v>20</v>
      </c>
      <c r="B82" s="16">
        <v>46098</v>
      </c>
      <c r="C82" s="15">
        <v>202612</v>
      </c>
      <c r="D82" s="15">
        <v>25205</v>
      </c>
      <c r="E82" s="15" t="s">
        <v>21</v>
      </c>
      <c r="F82" s="15" t="s">
        <v>24</v>
      </c>
      <c r="G82" s="15">
        <v>4</v>
      </c>
      <c r="H82" s="15" t="s">
        <v>21</v>
      </c>
      <c r="I82" s="15" t="s">
        <v>21</v>
      </c>
      <c r="J82" s="15" t="s">
        <v>23</v>
      </c>
      <c r="K82" s="15">
        <v>21793</v>
      </c>
      <c r="L82" s="15" t="s">
        <v>21</v>
      </c>
      <c r="M82" s="17">
        <v>17</v>
      </c>
      <c r="N82" s="17">
        <f t="shared" si="8"/>
        <v>370481</v>
      </c>
      <c r="O82" s="17">
        <f t="shared" si="9"/>
        <v>3704.81</v>
      </c>
      <c r="P82" s="17">
        <f t="shared" si="10"/>
        <v>374185.81</v>
      </c>
      <c r="Q82" s="19">
        <v>489</v>
      </c>
      <c r="R82" s="20"/>
    </row>
    <row r="83" spans="1:18" x14ac:dyDescent="0.25">
      <c r="A83" s="15" t="s">
        <v>20</v>
      </c>
      <c r="B83" s="16">
        <v>46098</v>
      </c>
      <c r="C83" s="15">
        <v>202612</v>
      </c>
      <c r="D83" s="15">
        <v>25206</v>
      </c>
      <c r="E83" s="15" t="s">
        <v>21</v>
      </c>
      <c r="F83" s="15" t="s">
        <v>24</v>
      </c>
      <c r="G83" s="15">
        <v>2</v>
      </c>
      <c r="H83" s="15" t="s">
        <v>21</v>
      </c>
      <c r="I83" s="15" t="s">
        <v>21</v>
      </c>
      <c r="J83" s="15" t="s">
        <v>23</v>
      </c>
      <c r="K83" s="15">
        <v>13360</v>
      </c>
      <c r="L83" s="15" t="s">
        <v>21</v>
      </c>
      <c r="M83" s="17">
        <v>17</v>
      </c>
      <c r="N83" s="17">
        <f t="shared" si="8"/>
        <v>227120</v>
      </c>
      <c r="O83" s="17">
        <f t="shared" si="9"/>
        <v>2271.2000000000003</v>
      </c>
      <c r="P83" s="17">
        <f t="shared" si="10"/>
        <v>229391.2</v>
      </c>
      <c r="Q83" s="19">
        <v>489</v>
      </c>
      <c r="R83" s="20"/>
    </row>
    <row r="84" spans="1:18" x14ac:dyDescent="0.25">
      <c r="A84" s="15" t="s">
        <v>20</v>
      </c>
      <c r="B84" s="16">
        <v>46098</v>
      </c>
      <c r="C84" s="15">
        <v>202612</v>
      </c>
      <c r="D84" s="18">
        <v>25201</v>
      </c>
      <c r="E84" s="15" t="s">
        <v>21</v>
      </c>
      <c r="F84" s="18" t="s">
        <v>29</v>
      </c>
      <c r="G84" s="15">
        <v>7</v>
      </c>
      <c r="H84" s="15">
        <v>52</v>
      </c>
      <c r="I84" s="15" t="s">
        <v>21</v>
      </c>
      <c r="J84" s="15" t="s">
        <v>27</v>
      </c>
      <c r="K84" s="15">
        <v>52</v>
      </c>
      <c r="L84" s="15">
        <v>0.26</v>
      </c>
      <c r="M84" s="17">
        <v>1800</v>
      </c>
      <c r="N84" s="17">
        <f t="shared" si="8"/>
        <v>93600</v>
      </c>
      <c r="O84" s="17">
        <f t="shared" si="9"/>
        <v>936</v>
      </c>
      <c r="P84" s="17">
        <f t="shared" si="10"/>
        <v>94536</v>
      </c>
      <c r="Q84" s="19">
        <v>491</v>
      </c>
      <c r="R84" s="20"/>
    </row>
    <row r="85" spans="1:18" x14ac:dyDescent="0.25">
      <c r="A85" s="15" t="s">
        <v>20</v>
      </c>
      <c r="B85" s="16">
        <v>46099</v>
      </c>
      <c r="C85" s="15">
        <v>202612</v>
      </c>
      <c r="D85" s="15">
        <v>25205</v>
      </c>
      <c r="E85" s="15" t="s">
        <v>21</v>
      </c>
      <c r="F85" s="15" t="s">
        <v>30</v>
      </c>
      <c r="G85" s="15">
        <v>2</v>
      </c>
      <c r="H85" s="15">
        <v>10</v>
      </c>
      <c r="I85" s="15" t="s">
        <v>21</v>
      </c>
      <c r="J85" s="18" t="s">
        <v>31</v>
      </c>
      <c r="K85" s="15">
        <v>10</v>
      </c>
      <c r="L85" s="15" t="s">
        <v>21</v>
      </c>
      <c r="M85" s="17">
        <v>4000</v>
      </c>
      <c r="N85" s="17">
        <f t="shared" si="8"/>
        <v>40000</v>
      </c>
      <c r="O85" s="17">
        <f t="shared" si="9"/>
        <v>400</v>
      </c>
      <c r="P85" s="17">
        <f t="shared" si="10"/>
        <v>40400</v>
      </c>
      <c r="Q85" s="19">
        <v>492</v>
      </c>
      <c r="R85" s="20"/>
    </row>
    <row r="86" spans="1:18" x14ac:dyDescent="0.25">
      <c r="A86" s="15" t="s">
        <v>20</v>
      </c>
      <c r="B86" s="16">
        <v>46099</v>
      </c>
      <c r="C86" s="15">
        <v>202612</v>
      </c>
      <c r="D86" s="15">
        <v>26210</v>
      </c>
      <c r="E86" s="15" t="s">
        <v>21</v>
      </c>
      <c r="F86" s="18" t="s">
        <v>37</v>
      </c>
      <c r="G86" s="18">
        <v>2</v>
      </c>
      <c r="H86" s="15" t="s">
        <v>21</v>
      </c>
      <c r="I86" s="15" t="s">
        <v>21</v>
      </c>
      <c r="J86" s="15" t="s">
        <v>23</v>
      </c>
      <c r="K86" s="18">
        <v>35921</v>
      </c>
      <c r="L86" s="15" t="s">
        <v>21</v>
      </c>
      <c r="M86" s="17">
        <v>2</v>
      </c>
      <c r="N86" s="17">
        <f t="shared" si="8"/>
        <v>71842</v>
      </c>
      <c r="O86" s="17">
        <f t="shared" si="9"/>
        <v>718.42</v>
      </c>
      <c r="P86" s="17">
        <f t="shared" si="10"/>
        <v>72560.42</v>
      </c>
      <c r="Q86" s="19">
        <v>490</v>
      </c>
      <c r="R86" s="20"/>
    </row>
    <row r="87" spans="1:18" x14ac:dyDescent="0.25">
      <c r="A87" s="15" t="s">
        <v>20</v>
      </c>
      <c r="B87" s="16">
        <v>46099</v>
      </c>
      <c r="C87" s="15">
        <v>202612</v>
      </c>
      <c r="D87" s="18">
        <v>25201</v>
      </c>
      <c r="E87" s="15" t="s">
        <v>21</v>
      </c>
      <c r="F87" s="18" t="s">
        <v>29</v>
      </c>
      <c r="G87" s="18">
        <v>5</v>
      </c>
      <c r="H87" s="18">
        <v>40</v>
      </c>
      <c r="I87" s="15" t="s">
        <v>21</v>
      </c>
      <c r="J87" s="15" t="s">
        <v>27</v>
      </c>
      <c r="K87" s="18">
        <v>40</v>
      </c>
      <c r="L87" s="18">
        <v>0.23</v>
      </c>
      <c r="M87" s="17">
        <v>1800</v>
      </c>
      <c r="N87" s="17">
        <f t="shared" si="8"/>
        <v>72000</v>
      </c>
      <c r="O87" s="17">
        <f t="shared" si="9"/>
        <v>720</v>
      </c>
      <c r="P87" s="17">
        <f t="shared" si="10"/>
        <v>72720</v>
      </c>
      <c r="Q87" s="19">
        <v>491</v>
      </c>
      <c r="R87" s="20"/>
    </row>
    <row r="88" spans="1:18" x14ac:dyDescent="0.25">
      <c r="A88" s="15" t="s">
        <v>20</v>
      </c>
      <c r="B88" s="16">
        <v>46099</v>
      </c>
      <c r="C88" s="15">
        <v>202612</v>
      </c>
      <c r="D88" s="15">
        <v>26210</v>
      </c>
      <c r="E88" s="15" t="s">
        <v>21</v>
      </c>
      <c r="F88" s="15" t="s">
        <v>24</v>
      </c>
      <c r="G88" s="18">
        <v>6</v>
      </c>
      <c r="H88" s="15" t="s">
        <v>21</v>
      </c>
      <c r="I88" s="15" t="s">
        <v>21</v>
      </c>
      <c r="J88" s="15" t="s">
        <v>23</v>
      </c>
      <c r="K88" s="18">
        <v>35367</v>
      </c>
      <c r="L88" s="15" t="s">
        <v>21</v>
      </c>
      <c r="M88" s="17">
        <v>17</v>
      </c>
      <c r="N88" s="17">
        <f t="shared" si="8"/>
        <v>601239</v>
      </c>
      <c r="O88" s="17">
        <f t="shared" si="9"/>
        <v>6012.39</v>
      </c>
      <c r="P88" s="17">
        <f t="shared" si="10"/>
        <v>607251.39</v>
      </c>
      <c r="Q88" s="19">
        <v>489</v>
      </c>
      <c r="R88" s="20"/>
    </row>
    <row r="89" spans="1:18" x14ac:dyDescent="0.25">
      <c r="A89" s="15" t="s">
        <v>20</v>
      </c>
      <c r="B89" s="16">
        <v>46099</v>
      </c>
      <c r="C89" s="15">
        <v>202612</v>
      </c>
      <c r="D89" s="15">
        <v>26210</v>
      </c>
      <c r="E89" s="15" t="s">
        <v>21</v>
      </c>
      <c r="F89" s="15" t="s">
        <v>24</v>
      </c>
      <c r="G89" s="15">
        <v>6</v>
      </c>
      <c r="H89" s="15" t="s">
        <v>21</v>
      </c>
      <c r="I89" s="15" t="s">
        <v>21</v>
      </c>
      <c r="J89" s="15" t="s">
        <v>23</v>
      </c>
      <c r="K89" s="15">
        <v>31550</v>
      </c>
      <c r="L89" s="15" t="s">
        <v>21</v>
      </c>
      <c r="M89" s="17">
        <v>17</v>
      </c>
      <c r="N89" s="17">
        <f t="shared" si="8"/>
        <v>536350</v>
      </c>
      <c r="O89" s="17">
        <f t="shared" si="9"/>
        <v>5363.5</v>
      </c>
      <c r="P89" s="17">
        <f t="shared" si="10"/>
        <v>541713.5</v>
      </c>
      <c r="Q89" s="19">
        <v>489</v>
      </c>
      <c r="R89" s="20"/>
    </row>
    <row r="90" spans="1:18" x14ac:dyDescent="0.25">
      <c r="A90" s="15" t="s">
        <v>20</v>
      </c>
      <c r="B90" s="16">
        <v>46099</v>
      </c>
      <c r="C90" s="15">
        <v>202612</v>
      </c>
      <c r="D90" s="15">
        <v>25206</v>
      </c>
      <c r="E90" s="15" t="s">
        <v>21</v>
      </c>
      <c r="F90" s="15" t="s">
        <v>24</v>
      </c>
      <c r="G90" s="15">
        <v>2</v>
      </c>
      <c r="H90" s="15" t="s">
        <v>21</v>
      </c>
      <c r="I90" s="15" t="s">
        <v>21</v>
      </c>
      <c r="J90" s="15" t="s">
        <v>23</v>
      </c>
      <c r="K90" s="15">
        <v>15841</v>
      </c>
      <c r="L90" s="15" t="s">
        <v>21</v>
      </c>
      <c r="M90" s="17">
        <v>17</v>
      </c>
      <c r="N90" s="17">
        <f t="shared" si="8"/>
        <v>269297</v>
      </c>
      <c r="O90" s="17">
        <f t="shared" si="9"/>
        <v>2692.9700000000003</v>
      </c>
      <c r="P90" s="17">
        <f t="shared" si="10"/>
        <v>271989.96999999997</v>
      </c>
      <c r="Q90" s="19">
        <v>489</v>
      </c>
      <c r="R90" s="20"/>
    </row>
    <row r="91" spans="1:18" x14ac:dyDescent="0.25">
      <c r="A91" s="15" t="s">
        <v>20</v>
      </c>
      <c r="B91" s="16">
        <v>46099</v>
      </c>
      <c r="C91" s="15">
        <v>202612</v>
      </c>
      <c r="D91" s="18">
        <v>25201</v>
      </c>
      <c r="E91" s="15" t="s">
        <v>21</v>
      </c>
      <c r="F91" s="18" t="s">
        <v>29</v>
      </c>
      <c r="G91" s="15">
        <v>6</v>
      </c>
      <c r="H91" s="15">
        <v>48</v>
      </c>
      <c r="I91" s="15" t="s">
        <v>21</v>
      </c>
      <c r="J91" s="15" t="s">
        <v>27</v>
      </c>
      <c r="K91" s="15">
        <v>48</v>
      </c>
      <c r="L91" s="15">
        <v>0.33</v>
      </c>
      <c r="M91" s="17">
        <v>1800</v>
      </c>
      <c r="N91" s="17">
        <f t="shared" si="8"/>
        <v>86400</v>
      </c>
      <c r="O91" s="17">
        <f t="shared" si="9"/>
        <v>864</v>
      </c>
      <c r="P91" s="17">
        <f t="shared" si="10"/>
        <v>87264</v>
      </c>
      <c r="Q91" s="19">
        <v>491</v>
      </c>
      <c r="R91" s="20"/>
    </row>
    <row r="92" spans="1:18" x14ac:dyDescent="0.25">
      <c r="A92" s="15" t="s">
        <v>20</v>
      </c>
      <c r="B92" s="16">
        <v>46100</v>
      </c>
      <c r="C92" s="15">
        <v>202612</v>
      </c>
      <c r="D92" s="15">
        <v>25205</v>
      </c>
      <c r="E92" s="15" t="s">
        <v>21</v>
      </c>
      <c r="F92" s="15" t="s">
        <v>30</v>
      </c>
      <c r="G92" s="18">
        <v>2</v>
      </c>
      <c r="H92" s="18">
        <v>7</v>
      </c>
      <c r="I92" s="15" t="s">
        <v>21</v>
      </c>
      <c r="J92" s="18" t="s">
        <v>31</v>
      </c>
      <c r="K92" s="18">
        <v>7</v>
      </c>
      <c r="L92" s="15" t="s">
        <v>21</v>
      </c>
      <c r="M92" s="17">
        <v>4000</v>
      </c>
      <c r="N92" s="17">
        <f t="shared" si="8"/>
        <v>28000</v>
      </c>
      <c r="O92" s="17">
        <f t="shared" si="9"/>
        <v>280</v>
      </c>
      <c r="P92" s="17">
        <f t="shared" si="10"/>
        <v>28280</v>
      </c>
      <c r="Q92" s="19">
        <v>492</v>
      </c>
      <c r="R92" s="20"/>
    </row>
    <row r="93" spans="1:18" x14ac:dyDescent="0.25">
      <c r="A93" s="15" t="s">
        <v>20</v>
      </c>
      <c r="B93" s="16">
        <v>46100</v>
      </c>
      <c r="C93" s="15">
        <v>202612</v>
      </c>
      <c r="D93" s="15">
        <v>26210</v>
      </c>
      <c r="E93" s="15" t="s">
        <v>21</v>
      </c>
      <c r="F93" s="15" t="s">
        <v>24</v>
      </c>
      <c r="G93" s="15">
        <v>6</v>
      </c>
      <c r="H93" s="15" t="s">
        <v>21</v>
      </c>
      <c r="I93" s="15" t="s">
        <v>21</v>
      </c>
      <c r="J93" s="15" t="s">
        <v>23</v>
      </c>
      <c r="K93" s="15">
        <v>37932</v>
      </c>
      <c r="L93" s="15" t="s">
        <v>21</v>
      </c>
      <c r="M93" s="17">
        <v>17</v>
      </c>
      <c r="N93" s="17">
        <f t="shared" si="8"/>
        <v>644844</v>
      </c>
      <c r="O93" s="17">
        <f t="shared" si="9"/>
        <v>6448.4400000000005</v>
      </c>
      <c r="P93" s="17">
        <f t="shared" si="10"/>
        <v>651292.43999999994</v>
      </c>
      <c r="Q93" s="19">
        <v>489</v>
      </c>
      <c r="R93" s="20"/>
    </row>
    <row r="94" spans="1:18" x14ac:dyDescent="0.25">
      <c r="A94" s="15" t="s">
        <v>20</v>
      </c>
      <c r="B94" s="16">
        <v>46100</v>
      </c>
      <c r="C94" s="15">
        <v>202612</v>
      </c>
      <c r="D94" s="15">
        <v>25206</v>
      </c>
      <c r="E94" s="15" t="s">
        <v>21</v>
      </c>
      <c r="F94" s="15" t="s">
        <v>24</v>
      </c>
      <c r="G94" s="15">
        <v>2</v>
      </c>
      <c r="H94" s="15" t="s">
        <v>21</v>
      </c>
      <c r="I94" s="15" t="s">
        <v>21</v>
      </c>
      <c r="J94" s="15" t="s">
        <v>23</v>
      </c>
      <c r="K94" s="15">
        <v>28024</v>
      </c>
      <c r="L94" s="15" t="s">
        <v>21</v>
      </c>
      <c r="M94" s="17">
        <v>17</v>
      </c>
      <c r="N94" s="17">
        <f t="shared" si="8"/>
        <v>476408</v>
      </c>
      <c r="O94" s="17">
        <f t="shared" si="9"/>
        <v>4764.08</v>
      </c>
      <c r="P94" s="17">
        <f t="shared" si="10"/>
        <v>481172.08</v>
      </c>
      <c r="Q94" s="19">
        <v>489</v>
      </c>
      <c r="R94" s="20"/>
    </row>
    <row r="95" spans="1:18" x14ac:dyDescent="0.25">
      <c r="A95" s="15" t="s">
        <v>20</v>
      </c>
      <c r="B95" s="16">
        <v>46100</v>
      </c>
      <c r="C95" s="15">
        <v>202612</v>
      </c>
      <c r="D95" s="15">
        <v>25205</v>
      </c>
      <c r="E95" s="15" t="s">
        <v>21</v>
      </c>
      <c r="F95" s="15" t="s">
        <v>41</v>
      </c>
      <c r="G95" s="18">
        <v>1</v>
      </c>
      <c r="H95" s="18">
        <v>8</v>
      </c>
      <c r="I95" s="15" t="s">
        <v>21</v>
      </c>
      <c r="J95" s="15" t="s">
        <v>27</v>
      </c>
      <c r="K95" s="18">
        <v>8</v>
      </c>
      <c r="L95" s="15" t="s">
        <v>21</v>
      </c>
      <c r="M95" s="17">
        <v>1800</v>
      </c>
      <c r="N95" s="17">
        <f t="shared" si="8"/>
        <v>14400</v>
      </c>
      <c r="O95" s="17">
        <f t="shared" si="9"/>
        <v>144</v>
      </c>
      <c r="P95" s="17">
        <f t="shared" si="10"/>
        <v>14544</v>
      </c>
      <c r="Q95" s="19">
        <v>491</v>
      </c>
      <c r="R95" s="20"/>
    </row>
    <row r="96" spans="1:18" x14ac:dyDescent="0.25">
      <c r="A96" s="15" t="s">
        <v>20</v>
      </c>
      <c r="B96" s="16">
        <v>46100</v>
      </c>
      <c r="C96" s="15">
        <v>202612</v>
      </c>
      <c r="D96" s="18">
        <v>25201</v>
      </c>
      <c r="E96" s="15" t="s">
        <v>21</v>
      </c>
      <c r="F96" s="18" t="s">
        <v>29</v>
      </c>
      <c r="G96" s="18">
        <v>3</v>
      </c>
      <c r="H96" s="18">
        <v>24</v>
      </c>
      <c r="I96" s="15" t="s">
        <v>21</v>
      </c>
      <c r="J96" s="15" t="s">
        <v>27</v>
      </c>
      <c r="K96" s="18">
        <v>24</v>
      </c>
      <c r="L96" s="18">
        <v>0.12</v>
      </c>
      <c r="M96" s="17">
        <v>1800</v>
      </c>
      <c r="N96" s="17">
        <f t="shared" si="8"/>
        <v>43200</v>
      </c>
      <c r="O96" s="17">
        <f t="shared" si="9"/>
        <v>432</v>
      </c>
      <c r="P96" s="17">
        <f t="shared" si="10"/>
        <v>43632</v>
      </c>
      <c r="Q96" s="19">
        <v>491</v>
      </c>
      <c r="R96" s="20"/>
    </row>
    <row r="97" spans="1:18" x14ac:dyDescent="0.25">
      <c r="A97" s="15" t="s">
        <v>20</v>
      </c>
      <c r="B97" s="16">
        <v>46101</v>
      </c>
      <c r="C97" s="15">
        <v>202612</v>
      </c>
      <c r="D97" s="15">
        <v>26210</v>
      </c>
      <c r="E97" s="15" t="s">
        <v>21</v>
      </c>
      <c r="F97" s="15" t="s">
        <v>24</v>
      </c>
      <c r="G97" s="15">
        <v>6</v>
      </c>
      <c r="H97" s="15" t="s">
        <v>21</v>
      </c>
      <c r="I97" s="15" t="s">
        <v>21</v>
      </c>
      <c r="J97" s="15" t="s">
        <v>23</v>
      </c>
      <c r="K97" s="15">
        <v>24412</v>
      </c>
      <c r="L97" s="15" t="s">
        <v>21</v>
      </c>
      <c r="M97" s="17">
        <v>17</v>
      </c>
      <c r="N97" s="17">
        <f t="shared" si="8"/>
        <v>415004</v>
      </c>
      <c r="O97" s="17">
        <f t="shared" si="9"/>
        <v>4150.04</v>
      </c>
      <c r="P97" s="17">
        <f t="shared" si="10"/>
        <v>419154.04</v>
      </c>
      <c r="Q97" s="19">
        <v>489</v>
      </c>
      <c r="R97" s="20"/>
    </row>
    <row r="98" spans="1:18" x14ac:dyDescent="0.25">
      <c r="A98" s="15" t="s">
        <v>20</v>
      </c>
      <c r="B98" s="16">
        <v>46101</v>
      </c>
      <c r="C98" s="15">
        <v>202612</v>
      </c>
      <c r="D98" s="18">
        <v>25201</v>
      </c>
      <c r="E98" s="15" t="s">
        <v>21</v>
      </c>
      <c r="F98" s="18" t="s">
        <v>29</v>
      </c>
      <c r="G98" s="18">
        <v>6</v>
      </c>
      <c r="H98" s="18">
        <v>48</v>
      </c>
      <c r="I98" s="15" t="s">
        <v>21</v>
      </c>
      <c r="J98" s="15" t="s">
        <v>27</v>
      </c>
      <c r="K98" s="18">
        <v>48</v>
      </c>
      <c r="L98" s="18">
        <v>0.4</v>
      </c>
      <c r="M98" s="17">
        <v>1800</v>
      </c>
      <c r="N98" s="17">
        <f t="shared" si="8"/>
        <v>86400</v>
      </c>
      <c r="O98" s="17">
        <f t="shared" si="9"/>
        <v>864</v>
      </c>
      <c r="P98" s="17">
        <f t="shared" si="10"/>
        <v>87264</v>
      </c>
      <c r="Q98" s="19">
        <v>491</v>
      </c>
      <c r="R98" s="20"/>
    </row>
    <row r="99" spans="1:18" x14ac:dyDescent="0.25">
      <c r="A99" s="15" t="s">
        <v>20</v>
      </c>
      <c r="B99" s="16">
        <v>46101</v>
      </c>
      <c r="C99" s="15">
        <v>202612</v>
      </c>
      <c r="D99" s="18">
        <v>25201</v>
      </c>
      <c r="E99" s="15" t="s">
        <v>21</v>
      </c>
      <c r="F99" s="15" t="s">
        <v>41</v>
      </c>
      <c r="G99" s="15">
        <v>1</v>
      </c>
      <c r="H99" s="15">
        <v>8</v>
      </c>
      <c r="I99" s="15" t="s">
        <v>21</v>
      </c>
      <c r="J99" s="15" t="s">
        <v>27</v>
      </c>
      <c r="K99" s="15">
        <v>8</v>
      </c>
      <c r="L99" s="15" t="s">
        <v>21</v>
      </c>
      <c r="M99" s="17">
        <v>1800</v>
      </c>
      <c r="N99" s="17">
        <f t="shared" si="8"/>
        <v>14400</v>
      </c>
      <c r="O99" s="17">
        <f t="shared" si="9"/>
        <v>144</v>
      </c>
      <c r="P99" s="17">
        <f t="shared" si="10"/>
        <v>14544</v>
      </c>
      <c r="Q99" s="19">
        <v>491</v>
      </c>
      <c r="R99" s="20"/>
    </row>
    <row r="100" spans="1:18" x14ac:dyDescent="0.25">
      <c r="A100" s="15" t="s">
        <v>20</v>
      </c>
      <c r="B100" s="16">
        <v>46102</v>
      </c>
      <c r="C100" s="15">
        <v>202612</v>
      </c>
      <c r="D100" s="18">
        <v>25201</v>
      </c>
      <c r="E100" s="15" t="s">
        <v>21</v>
      </c>
      <c r="F100" s="18" t="s">
        <v>29</v>
      </c>
      <c r="G100" s="18">
        <v>2</v>
      </c>
      <c r="H100" s="18">
        <v>10</v>
      </c>
      <c r="I100" s="15" t="s">
        <v>21</v>
      </c>
      <c r="J100" s="15" t="s">
        <v>27</v>
      </c>
      <c r="K100" s="18">
        <v>10</v>
      </c>
      <c r="L100" s="15" t="s">
        <v>21</v>
      </c>
      <c r="M100" s="17">
        <v>1800</v>
      </c>
      <c r="N100" s="17">
        <f t="shared" si="8"/>
        <v>18000</v>
      </c>
      <c r="O100" s="17">
        <f t="shared" si="9"/>
        <v>180</v>
      </c>
      <c r="P100" s="17">
        <f t="shared" si="10"/>
        <v>18180</v>
      </c>
      <c r="Q100" s="19">
        <v>491</v>
      </c>
      <c r="R100" s="20"/>
    </row>
    <row r="101" spans="1:18" x14ac:dyDescent="0.25">
      <c r="A101" s="15" t="s">
        <v>20</v>
      </c>
      <c r="B101" s="16">
        <v>46102</v>
      </c>
      <c r="C101" s="15">
        <v>202612</v>
      </c>
      <c r="D101" s="15">
        <v>25206</v>
      </c>
      <c r="E101" s="18"/>
      <c r="F101" s="21" t="s">
        <v>42</v>
      </c>
      <c r="G101" s="18">
        <v>1</v>
      </c>
      <c r="H101" s="18">
        <v>14</v>
      </c>
      <c r="I101" s="15" t="s">
        <v>21</v>
      </c>
      <c r="J101" s="15" t="s">
        <v>27</v>
      </c>
      <c r="K101" s="15">
        <v>14</v>
      </c>
      <c r="L101" s="15" t="s">
        <v>21</v>
      </c>
      <c r="M101" s="17">
        <v>1800</v>
      </c>
      <c r="N101" s="17">
        <f t="shared" si="8"/>
        <v>25200</v>
      </c>
      <c r="O101" s="17">
        <f t="shared" si="9"/>
        <v>252</v>
      </c>
      <c r="P101" s="17">
        <f t="shared" si="10"/>
        <v>25452</v>
      </c>
      <c r="Q101" s="19">
        <v>491</v>
      </c>
      <c r="R101" s="20"/>
    </row>
    <row r="102" spans="1:18" x14ac:dyDescent="0.25">
      <c r="A102" s="18" t="s">
        <v>20</v>
      </c>
      <c r="B102" s="22">
        <v>46104.318055555559</v>
      </c>
      <c r="C102" s="18">
        <v>202613</v>
      </c>
      <c r="D102" s="15">
        <v>25205</v>
      </c>
      <c r="E102" s="18">
        <v>2</v>
      </c>
      <c r="F102" s="15" t="s">
        <v>30</v>
      </c>
      <c r="G102" s="18">
        <v>2</v>
      </c>
      <c r="H102" s="15" t="s">
        <v>21</v>
      </c>
      <c r="I102" s="15" t="s">
        <v>21</v>
      </c>
      <c r="J102" s="18" t="s">
        <v>31</v>
      </c>
      <c r="K102" s="18">
        <v>10</v>
      </c>
      <c r="L102" s="15" t="s">
        <v>21</v>
      </c>
      <c r="M102" s="17">
        <v>4000</v>
      </c>
      <c r="N102" s="17">
        <f t="shared" si="8"/>
        <v>40000</v>
      </c>
      <c r="O102" s="17">
        <v>400</v>
      </c>
      <c r="P102" s="17">
        <v>40400</v>
      </c>
      <c r="Q102" s="19">
        <v>498</v>
      </c>
      <c r="R102" s="20"/>
    </row>
    <row r="103" spans="1:18" x14ac:dyDescent="0.25">
      <c r="A103" s="15" t="s">
        <v>20</v>
      </c>
      <c r="B103" s="16">
        <v>46104.31527777778</v>
      </c>
      <c r="C103" s="18">
        <v>202613</v>
      </c>
      <c r="D103" s="18">
        <v>25201</v>
      </c>
      <c r="E103" s="15">
        <v>4</v>
      </c>
      <c r="F103" s="18" t="s">
        <v>29</v>
      </c>
      <c r="G103" s="15">
        <v>5</v>
      </c>
      <c r="H103" s="15">
        <v>40</v>
      </c>
      <c r="I103" s="15">
        <v>1</v>
      </c>
      <c r="J103" s="15" t="s">
        <v>27</v>
      </c>
      <c r="K103" s="15">
        <v>40</v>
      </c>
      <c r="L103" s="15">
        <v>0.22</v>
      </c>
      <c r="M103" s="17">
        <v>1800</v>
      </c>
      <c r="N103" s="17">
        <f t="shared" si="8"/>
        <v>72000</v>
      </c>
      <c r="O103" s="17">
        <v>720</v>
      </c>
      <c r="P103" s="17">
        <v>72720</v>
      </c>
      <c r="Q103" s="19">
        <v>510</v>
      </c>
      <c r="R103" s="20"/>
    </row>
    <row r="104" spans="1:18" x14ac:dyDescent="0.25">
      <c r="A104" s="15" t="s">
        <v>20</v>
      </c>
      <c r="B104" s="22">
        <v>46105.347916666666</v>
      </c>
      <c r="C104" s="18">
        <v>202613</v>
      </c>
      <c r="D104" s="18">
        <v>25201</v>
      </c>
      <c r="E104" s="18">
        <v>3</v>
      </c>
      <c r="F104" s="15" t="s">
        <v>30</v>
      </c>
      <c r="G104" s="18">
        <v>2</v>
      </c>
      <c r="H104" s="18">
        <v>4</v>
      </c>
      <c r="I104" s="15" t="s">
        <v>21</v>
      </c>
      <c r="J104" s="18" t="s">
        <v>31</v>
      </c>
      <c r="K104" s="18">
        <v>10</v>
      </c>
      <c r="L104" s="18">
        <v>4.1399999999999997</v>
      </c>
      <c r="M104" s="17">
        <v>4000</v>
      </c>
      <c r="N104" s="17">
        <f t="shared" si="8"/>
        <v>40000</v>
      </c>
      <c r="O104" s="17">
        <v>400</v>
      </c>
      <c r="P104" s="17">
        <v>40400</v>
      </c>
      <c r="Q104" s="19">
        <v>498</v>
      </c>
      <c r="R104" s="20"/>
    </row>
    <row r="105" spans="1:18" x14ac:dyDescent="0.25">
      <c r="A105" s="18" t="s">
        <v>20</v>
      </c>
      <c r="B105" s="22">
        <v>46105.341666666667</v>
      </c>
      <c r="C105" s="18">
        <v>202613</v>
      </c>
      <c r="D105" s="18">
        <v>25201</v>
      </c>
      <c r="E105" s="18">
        <v>4</v>
      </c>
      <c r="F105" s="18" t="s">
        <v>29</v>
      </c>
      <c r="G105" s="18">
        <v>5</v>
      </c>
      <c r="H105" s="18">
        <v>40</v>
      </c>
      <c r="I105" s="15" t="s">
        <v>21</v>
      </c>
      <c r="J105" s="18" t="s">
        <v>27</v>
      </c>
      <c r="K105" s="18">
        <v>40</v>
      </c>
      <c r="L105" s="18">
        <v>0.22</v>
      </c>
      <c r="M105" s="17">
        <v>1800</v>
      </c>
      <c r="N105" s="17">
        <f t="shared" si="8"/>
        <v>72000</v>
      </c>
      <c r="O105" s="17">
        <v>720</v>
      </c>
      <c r="P105" s="17">
        <v>72720</v>
      </c>
      <c r="Q105" s="19">
        <v>510</v>
      </c>
      <c r="R105" s="20"/>
    </row>
    <row r="106" spans="1:18" x14ac:dyDescent="0.25">
      <c r="A106" s="15" t="s">
        <v>20</v>
      </c>
      <c r="B106" s="16">
        <v>46105.338194444441</v>
      </c>
      <c r="C106" s="18">
        <v>202613</v>
      </c>
      <c r="D106" s="15">
        <v>26210</v>
      </c>
      <c r="E106" s="15">
        <v>1</v>
      </c>
      <c r="F106" s="15" t="s">
        <v>24</v>
      </c>
      <c r="G106" s="15">
        <v>7</v>
      </c>
      <c r="H106" s="15" t="s">
        <v>21</v>
      </c>
      <c r="I106" s="15" t="s">
        <v>21</v>
      </c>
      <c r="J106" s="15" t="s">
        <v>43</v>
      </c>
      <c r="K106" s="15">
        <v>30237</v>
      </c>
      <c r="L106" s="15" t="s">
        <v>21</v>
      </c>
      <c r="M106" s="17">
        <v>17</v>
      </c>
      <c r="N106" s="17">
        <f t="shared" si="8"/>
        <v>514029</v>
      </c>
      <c r="O106" s="17">
        <v>5140.29</v>
      </c>
      <c r="P106" s="17">
        <v>519169.29</v>
      </c>
      <c r="Q106" s="19">
        <v>500</v>
      </c>
      <c r="R106" s="20"/>
    </row>
    <row r="107" spans="1:18" x14ac:dyDescent="0.25">
      <c r="A107" s="18" t="s">
        <v>20</v>
      </c>
      <c r="B107" s="22">
        <v>46106.339583333334</v>
      </c>
      <c r="C107" s="18">
        <v>202613</v>
      </c>
      <c r="D107" s="15">
        <v>25206</v>
      </c>
      <c r="E107" s="18">
        <v>2</v>
      </c>
      <c r="F107" s="18" t="s">
        <v>37</v>
      </c>
      <c r="G107" s="18">
        <v>2</v>
      </c>
      <c r="H107" s="18">
        <v>20</v>
      </c>
      <c r="I107" s="15" t="s">
        <v>21</v>
      </c>
      <c r="J107" s="18" t="s">
        <v>43</v>
      </c>
      <c r="K107" s="18">
        <v>38748</v>
      </c>
      <c r="L107" s="18">
        <v>0.52</v>
      </c>
      <c r="M107" s="17">
        <v>2</v>
      </c>
      <c r="N107" s="17">
        <f t="shared" si="8"/>
        <v>77496</v>
      </c>
      <c r="O107" s="17">
        <v>774.96</v>
      </c>
      <c r="P107" s="17">
        <v>78270.960000000006</v>
      </c>
      <c r="Q107" s="19">
        <v>497</v>
      </c>
      <c r="R107" s="20"/>
    </row>
    <row r="108" spans="1:18" x14ac:dyDescent="0.25">
      <c r="A108" s="15" t="s">
        <v>20</v>
      </c>
      <c r="B108" s="16">
        <v>46106.333333333336</v>
      </c>
      <c r="C108" s="18">
        <v>202613</v>
      </c>
      <c r="D108" s="15">
        <v>25205</v>
      </c>
      <c r="E108" s="15">
        <v>3</v>
      </c>
      <c r="F108" s="15" t="s">
        <v>30</v>
      </c>
      <c r="G108" s="15">
        <v>2</v>
      </c>
      <c r="H108" s="15">
        <v>16</v>
      </c>
      <c r="I108" s="15">
        <v>1</v>
      </c>
      <c r="J108" s="18" t="s">
        <v>31</v>
      </c>
      <c r="K108" s="15">
        <v>10</v>
      </c>
      <c r="L108" s="15">
        <v>0.8</v>
      </c>
      <c r="M108" s="17">
        <v>4000</v>
      </c>
      <c r="N108" s="17">
        <f t="shared" si="8"/>
        <v>40000</v>
      </c>
      <c r="O108" s="17">
        <v>400</v>
      </c>
      <c r="P108" s="17">
        <v>40400</v>
      </c>
      <c r="Q108" s="19">
        <v>498</v>
      </c>
      <c r="R108" s="20"/>
    </row>
    <row r="109" spans="1:18" x14ac:dyDescent="0.25">
      <c r="A109" s="15" t="s">
        <v>20</v>
      </c>
      <c r="B109" s="22">
        <v>46106.329861111109</v>
      </c>
      <c r="C109" s="18">
        <v>202613</v>
      </c>
      <c r="D109" s="18">
        <v>25201</v>
      </c>
      <c r="E109" s="18">
        <v>4</v>
      </c>
      <c r="F109" s="18" t="s">
        <v>29</v>
      </c>
      <c r="G109" s="18">
        <v>5</v>
      </c>
      <c r="H109" s="18">
        <v>39</v>
      </c>
      <c r="I109" s="18">
        <v>1</v>
      </c>
      <c r="J109" s="18" t="s">
        <v>27</v>
      </c>
      <c r="K109" s="18">
        <v>39</v>
      </c>
      <c r="L109" s="18">
        <v>0.38</v>
      </c>
      <c r="M109" s="17">
        <v>1800</v>
      </c>
      <c r="N109" s="17">
        <f t="shared" si="8"/>
        <v>70200</v>
      </c>
      <c r="O109" s="17">
        <v>702</v>
      </c>
      <c r="P109" s="17">
        <v>70902</v>
      </c>
      <c r="Q109" s="19">
        <v>510</v>
      </c>
      <c r="R109" s="20"/>
    </row>
    <row r="110" spans="1:18" x14ac:dyDescent="0.25">
      <c r="A110" s="18" t="s">
        <v>20</v>
      </c>
      <c r="B110" s="16">
        <v>46106.326388888891</v>
      </c>
      <c r="C110" s="18">
        <v>202613</v>
      </c>
      <c r="D110" s="15">
        <v>26210</v>
      </c>
      <c r="E110" s="15">
        <v>1</v>
      </c>
      <c r="F110" s="15" t="s">
        <v>44</v>
      </c>
      <c r="G110" s="15">
        <v>8</v>
      </c>
      <c r="H110" s="15">
        <v>40</v>
      </c>
      <c r="I110" s="15" t="s">
        <v>21</v>
      </c>
      <c r="J110" s="15" t="s">
        <v>43</v>
      </c>
      <c r="K110" s="15">
        <v>35241</v>
      </c>
      <c r="L110" s="15">
        <v>0.48</v>
      </c>
      <c r="M110" s="17">
        <v>17</v>
      </c>
      <c r="N110" s="17">
        <f t="shared" si="8"/>
        <v>599097</v>
      </c>
      <c r="O110" s="17">
        <v>5990.97</v>
      </c>
      <c r="P110" s="17">
        <v>605087.97</v>
      </c>
      <c r="Q110" s="19">
        <v>500</v>
      </c>
      <c r="R110" s="20"/>
    </row>
    <row r="111" spans="1:18" x14ac:dyDescent="0.25">
      <c r="A111" s="15" t="s">
        <v>20</v>
      </c>
      <c r="B111" s="22">
        <v>46107.388194444444</v>
      </c>
      <c r="C111" s="18">
        <v>202613</v>
      </c>
      <c r="D111" s="15">
        <v>25205</v>
      </c>
      <c r="E111" s="18">
        <v>3</v>
      </c>
      <c r="F111" s="18" t="s">
        <v>45</v>
      </c>
      <c r="G111" s="18">
        <v>2</v>
      </c>
      <c r="H111" s="18">
        <v>16</v>
      </c>
      <c r="I111" s="15" t="s">
        <v>21</v>
      </c>
      <c r="J111" s="18" t="s">
        <v>27</v>
      </c>
      <c r="K111" s="18">
        <v>16</v>
      </c>
      <c r="L111" s="18">
        <v>0.5</v>
      </c>
      <c r="M111" s="17">
        <v>1800</v>
      </c>
      <c r="N111" s="17">
        <f t="shared" si="8"/>
        <v>28800</v>
      </c>
      <c r="O111" s="17">
        <v>288</v>
      </c>
      <c r="P111" s="17">
        <v>29088</v>
      </c>
      <c r="Q111" s="19">
        <v>510</v>
      </c>
      <c r="R111" s="20"/>
    </row>
    <row r="112" spans="1:18" x14ac:dyDescent="0.25">
      <c r="A112" s="18" t="s">
        <v>20</v>
      </c>
      <c r="B112" s="16">
        <v>46107.385416666664</v>
      </c>
      <c r="C112" s="18">
        <v>202613</v>
      </c>
      <c r="D112" s="15">
        <v>23207</v>
      </c>
      <c r="E112" s="15">
        <v>46</v>
      </c>
      <c r="F112" s="18" t="s">
        <v>46</v>
      </c>
      <c r="G112" s="15">
        <v>3</v>
      </c>
      <c r="H112" s="15">
        <v>24</v>
      </c>
      <c r="I112" s="15" t="s">
        <v>21</v>
      </c>
      <c r="J112" s="15" t="s">
        <v>27</v>
      </c>
      <c r="K112" s="15">
        <v>24</v>
      </c>
      <c r="L112" s="15">
        <v>0.02</v>
      </c>
      <c r="M112" s="17">
        <v>1800</v>
      </c>
      <c r="N112" s="17">
        <f t="shared" si="8"/>
        <v>43200</v>
      </c>
      <c r="O112" s="17">
        <v>432</v>
      </c>
      <c r="P112" s="17">
        <v>43632</v>
      </c>
      <c r="Q112" s="19">
        <v>510</v>
      </c>
      <c r="R112" s="20"/>
    </row>
    <row r="113" spans="1:18" x14ac:dyDescent="0.25">
      <c r="A113" s="15" t="s">
        <v>20</v>
      </c>
      <c r="B113" s="22">
        <v>46107.383333333331</v>
      </c>
      <c r="C113" s="18">
        <v>202613</v>
      </c>
      <c r="D113" s="15">
        <v>25205</v>
      </c>
      <c r="E113" s="18">
        <v>3</v>
      </c>
      <c r="F113" s="18" t="s">
        <v>30</v>
      </c>
      <c r="G113" s="18">
        <v>2</v>
      </c>
      <c r="H113" s="18">
        <v>16</v>
      </c>
      <c r="I113" s="18">
        <v>1</v>
      </c>
      <c r="J113" s="18" t="s">
        <v>31</v>
      </c>
      <c r="K113" s="18">
        <v>10</v>
      </c>
      <c r="L113" s="18">
        <v>0.81</v>
      </c>
      <c r="M113" s="17">
        <v>4000</v>
      </c>
      <c r="N113" s="17">
        <f t="shared" si="8"/>
        <v>40000</v>
      </c>
      <c r="O113" s="17">
        <v>400</v>
      </c>
      <c r="P113" s="17">
        <v>40400</v>
      </c>
      <c r="Q113" s="19">
        <v>498</v>
      </c>
      <c r="R113" s="20"/>
    </row>
    <row r="114" spans="1:18" x14ac:dyDescent="0.25">
      <c r="A114" s="18" t="s">
        <v>20</v>
      </c>
      <c r="B114" s="16">
        <v>46107.381249999999</v>
      </c>
      <c r="C114" s="18">
        <v>202613</v>
      </c>
      <c r="D114" s="18">
        <v>25201</v>
      </c>
      <c r="E114" s="15">
        <v>4</v>
      </c>
      <c r="F114" s="15" t="s">
        <v>29</v>
      </c>
      <c r="G114" s="15">
        <v>5</v>
      </c>
      <c r="H114" s="15">
        <v>40</v>
      </c>
      <c r="I114" s="15">
        <v>1</v>
      </c>
      <c r="J114" s="15" t="s">
        <v>27</v>
      </c>
      <c r="K114" s="15">
        <v>40</v>
      </c>
      <c r="L114" s="15">
        <v>0.6</v>
      </c>
      <c r="M114" s="17">
        <v>1800</v>
      </c>
      <c r="N114" s="17">
        <f t="shared" si="8"/>
        <v>72000</v>
      </c>
      <c r="O114" s="17">
        <v>720</v>
      </c>
      <c r="P114" s="17">
        <v>72720</v>
      </c>
      <c r="Q114" s="19">
        <v>510</v>
      </c>
      <c r="R114" s="20"/>
    </row>
    <row r="115" spans="1:18" x14ac:dyDescent="0.25">
      <c r="A115" s="15" t="s">
        <v>20</v>
      </c>
      <c r="B115" s="22">
        <v>46107.379166666666</v>
      </c>
      <c r="C115" s="18">
        <v>202613</v>
      </c>
      <c r="D115" s="15">
        <v>25206</v>
      </c>
      <c r="E115" s="18">
        <v>2</v>
      </c>
      <c r="F115" s="18" t="s">
        <v>44</v>
      </c>
      <c r="G115" s="18">
        <v>2</v>
      </c>
      <c r="H115" s="18">
        <v>16</v>
      </c>
      <c r="I115" s="15" t="s">
        <v>21</v>
      </c>
      <c r="J115" s="18" t="s">
        <v>43</v>
      </c>
      <c r="K115" s="18">
        <v>12400</v>
      </c>
      <c r="L115" s="18">
        <v>0.08</v>
      </c>
      <c r="M115" s="17">
        <v>17</v>
      </c>
      <c r="N115" s="17">
        <f t="shared" si="8"/>
        <v>210800</v>
      </c>
      <c r="O115" s="17">
        <v>2108</v>
      </c>
      <c r="P115" s="17">
        <v>212908</v>
      </c>
      <c r="Q115" s="19">
        <v>500</v>
      </c>
      <c r="R115" s="20"/>
    </row>
    <row r="116" spans="1:18" x14ac:dyDescent="0.25">
      <c r="A116" s="18" t="s">
        <v>20</v>
      </c>
      <c r="B116" s="16">
        <v>46107.376388888886</v>
      </c>
      <c r="C116" s="18">
        <v>202613</v>
      </c>
      <c r="D116" s="15">
        <v>26210</v>
      </c>
      <c r="E116" s="15">
        <v>1</v>
      </c>
      <c r="F116" s="15" t="s">
        <v>44</v>
      </c>
      <c r="G116" s="15">
        <v>7</v>
      </c>
      <c r="H116" s="15">
        <v>56</v>
      </c>
      <c r="I116" s="15" t="s">
        <v>21</v>
      </c>
      <c r="J116" s="15" t="s">
        <v>43</v>
      </c>
      <c r="K116" s="15">
        <v>29048</v>
      </c>
      <c r="L116" s="15">
        <v>0.4</v>
      </c>
      <c r="M116" s="17">
        <v>17</v>
      </c>
      <c r="N116" s="17">
        <f t="shared" si="8"/>
        <v>493816</v>
      </c>
      <c r="O116" s="17">
        <v>4938.16</v>
      </c>
      <c r="P116" s="17">
        <v>498754.16</v>
      </c>
      <c r="Q116" s="19">
        <v>500</v>
      </c>
      <c r="R116" s="20"/>
    </row>
    <row r="117" spans="1:18" x14ac:dyDescent="0.25">
      <c r="A117" s="15" t="s">
        <v>20</v>
      </c>
      <c r="B117" s="16">
        <v>46108.321527777778</v>
      </c>
      <c r="C117" s="18">
        <v>202613</v>
      </c>
      <c r="D117" s="15">
        <v>26210</v>
      </c>
      <c r="E117" s="15">
        <v>1</v>
      </c>
      <c r="F117" s="15" t="s">
        <v>41</v>
      </c>
      <c r="G117" s="15">
        <v>2</v>
      </c>
      <c r="H117" s="15">
        <v>16</v>
      </c>
      <c r="I117" s="15" t="s">
        <v>21</v>
      </c>
      <c r="J117" s="15" t="s">
        <v>27</v>
      </c>
      <c r="K117" s="15">
        <v>16</v>
      </c>
      <c r="L117" s="15">
        <v>1</v>
      </c>
      <c r="M117" s="17">
        <v>1800</v>
      </c>
      <c r="N117" s="17">
        <f t="shared" ref="N117" si="11">+M117*K117</f>
        <v>28800</v>
      </c>
      <c r="O117" s="17">
        <v>288</v>
      </c>
      <c r="P117" s="17">
        <v>29088</v>
      </c>
      <c r="Q117" s="19">
        <v>510</v>
      </c>
      <c r="R117" s="20"/>
    </row>
    <row r="118" spans="1:18" x14ac:dyDescent="0.25">
      <c r="A118" s="15" t="s">
        <v>20</v>
      </c>
      <c r="B118" s="22">
        <v>46108.319444444445</v>
      </c>
      <c r="C118" s="18">
        <v>202613</v>
      </c>
      <c r="D118" s="15">
        <v>25205</v>
      </c>
      <c r="E118" s="18">
        <v>3</v>
      </c>
      <c r="F118" s="18" t="s">
        <v>30</v>
      </c>
      <c r="G118" s="18">
        <v>1</v>
      </c>
      <c r="H118" s="18">
        <v>8</v>
      </c>
      <c r="I118" s="18">
        <v>1</v>
      </c>
      <c r="J118" s="18" t="s">
        <v>31</v>
      </c>
      <c r="K118" s="18">
        <v>5</v>
      </c>
      <c r="L118" s="18">
        <v>0.35</v>
      </c>
      <c r="M118" s="17">
        <v>4000</v>
      </c>
      <c r="N118" s="17">
        <v>20000</v>
      </c>
      <c r="O118" s="17">
        <v>200</v>
      </c>
      <c r="P118" s="17">
        <v>20200</v>
      </c>
      <c r="Q118" s="19">
        <v>498</v>
      </c>
      <c r="R118" s="20"/>
    </row>
    <row r="119" spans="1:18" x14ac:dyDescent="0.25">
      <c r="A119" s="18" t="s">
        <v>20</v>
      </c>
      <c r="B119" s="16">
        <v>46108.318055555559</v>
      </c>
      <c r="C119" s="18">
        <v>202613</v>
      </c>
      <c r="D119" s="18">
        <v>25201</v>
      </c>
      <c r="E119" s="15">
        <v>4</v>
      </c>
      <c r="F119" s="15" t="s">
        <v>29</v>
      </c>
      <c r="G119" s="15">
        <v>4</v>
      </c>
      <c r="H119" s="15">
        <v>27</v>
      </c>
      <c r="I119" s="15">
        <v>1</v>
      </c>
      <c r="J119" s="15" t="s">
        <v>27</v>
      </c>
      <c r="K119" s="15">
        <v>27</v>
      </c>
      <c r="L119" s="15">
        <v>0.7</v>
      </c>
      <c r="M119" s="17">
        <v>1800</v>
      </c>
      <c r="N119" s="17">
        <v>48600</v>
      </c>
      <c r="O119" s="17">
        <v>486</v>
      </c>
      <c r="P119" s="17">
        <v>49086</v>
      </c>
      <c r="Q119" s="19">
        <v>510</v>
      </c>
      <c r="R119" s="20"/>
    </row>
    <row r="120" spans="1:18" x14ac:dyDescent="0.25">
      <c r="A120" s="15" t="s">
        <v>20</v>
      </c>
      <c r="B120" s="22">
        <v>46108.31527777778</v>
      </c>
      <c r="C120" s="18">
        <v>202613</v>
      </c>
      <c r="D120" s="15">
        <v>25206</v>
      </c>
      <c r="E120" s="18">
        <v>2</v>
      </c>
      <c r="F120" s="18" t="s">
        <v>44</v>
      </c>
      <c r="G120" s="18">
        <v>2</v>
      </c>
      <c r="H120" s="18">
        <v>16</v>
      </c>
      <c r="I120" s="15" t="s">
        <v>21</v>
      </c>
      <c r="J120" s="18" t="s">
        <v>43</v>
      </c>
      <c r="K120" s="18">
        <v>10514</v>
      </c>
      <c r="L120" s="18">
        <v>7.0000000000000007E-2</v>
      </c>
      <c r="M120" s="17">
        <v>17</v>
      </c>
      <c r="N120" s="17">
        <v>178738</v>
      </c>
      <c r="O120" s="17">
        <v>1787.38</v>
      </c>
      <c r="P120" s="17">
        <v>180525.38</v>
      </c>
      <c r="Q120" s="19">
        <v>500</v>
      </c>
      <c r="R120" s="20"/>
    </row>
    <row r="121" spans="1:18" x14ac:dyDescent="0.25">
      <c r="A121" s="18" t="s">
        <v>20</v>
      </c>
      <c r="B121" s="16">
        <v>46108.313888888886</v>
      </c>
      <c r="C121" s="18">
        <v>202613</v>
      </c>
      <c r="D121" s="15">
        <v>26210</v>
      </c>
      <c r="E121" s="15">
        <v>1</v>
      </c>
      <c r="F121" s="15" t="s">
        <v>44</v>
      </c>
      <c r="G121" s="15">
        <v>5</v>
      </c>
      <c r="H121" s="15">
        <v>40</v>
      </c>
      <c r="I121" s="15" t="s">
        <v>21</v>
      </c>
      <c r="J121" s="15" t="s">
        <v>43</v>
      </c>
      <c r="K121" s="15">
        <v>15124</v>
      </c>
      <c r="L121" s="15">
        <v>0.21</v>
      </c>
      <c r="M121" s="17">
        <v>17</v>
      </c>
      <c r="N121" s="17">
        <v>257108</v>
      </c>
      <c r="O121" s="17">
        <v>2571.08</v>
      </c>
      <c r="P121" s="17">
        <v>259679.08</v>
      </c>
      <c r="Q121" s="19">
        <v>500</v>
      </c>
      <c r="R121" s="20"/>
    </row>
    <row r="122" spans="1:18" x14ac:dyDescent="0.25">
      <c r="A122" s="15" t="s">
        <v>20</v>
      </c>
      <c r="B122" s="22">
        <v>46108.379861111112</v>
      </c>
      <c r="C122" s="18">
        <v>202613</v>
      </c>
      <c r="D122" s="15">
        <v>26210</v>
      </c>
      <c r="E122" s="18">
        <v>1</v>
      </c>
      <c r="F122" s="18" t="s">
        <v>37</v>
      </c>
      <c r="G122" s="18">
        <v>2</v>
      </c>
      <c r="H122" s="18">
        <v>16</v>
      </c>
      <c r="I122" s="18">
        <v>1</v>
      </c>
      <c r="J122" s="18" t="s">
        <v>43</v>
      </c>
      <c r="K122" s="18">
        <v>23468</v>
      </c>
      <c r="L122" s="18">
        <v>0.01</v>
      </c>
      <c r="M122" s="17">
        <v>2</v>
      </c>
      <c r="N122" s="17">
        <v>46936</v>
      </c>
      <c r="O122" s="17">
        <v>469.36</v>
      </c>
      <c r="P122" s="17">
        <v>47405.36</v>
      </c>
      <c r="Q122" s="19">
        <v>497</v>
      </c>
      <c r="R122" s="20"/>
    </row>
    <row r="123" spans="1:18" x14ac:dyDescent="0.25">
      <c r="A123" s="18" t="s">
        <v>20</v>
      </c>
      <c r="B123" s="16">
        <v>46108.370138888888</v>
      </c>
      <c r="C123" s="18">
        <v>202613</v>
      </c>
      <c r="D123" s="15">
        <v>26210</v>
      </c>
      <c r="E123" s="15">
        <v>1</v>
      </c>
      <c r="F123" s="15" t="s">
        <v>22</v>
      </c>
      <c r="G123" s="15">
        <v>1</v>
      </c>
      <c r="H123" s="15">
        <v>1</v>
      </c>
      <c r="I123" s="15">
        <v>1</v>
      </c>
      <c r="J123" s="15" t="s">
        <v>43</v>
      </c>
      <c r="K123" s="15">
        <v>1</v>
      </c>
      <c r="L123" s="15">
        <v>1</v>
      </c>
      <c r="M123" s="17">
        <v>80000</v>
      </c>
      <c r="N123" s="17">
        <v>80000</v>
      </c>
      <c r="O123" s="17">
        <v>800</v>
      </c>
      <c r="P123" s="17">
        <v>80800</v>
      </c>
      <c r="Q123" s="19">
        <v>496</v>
      </c>
      <c r="R123" s="20"/>
    </row>
    <row r="124" spans="1:18" x14ac:dyDescent="0.25">
      <c r="A124" s="15" t="s">
        <v>20</v>
      </c>
      <c r="B124" s="22">
        <v>46109.382638888892</v>
      </c>
      <c r="C124" s="18">
        <v>202613</v>
      </c>
      <c r="D124" s="15">
        <v>26210</v>
      </c>
      <c r="E124" s="18">
        <v>1</v>
      </c>
      <c r="F124" s="18" t="s">
        <v>22</v>
      </c>
      <c r="G124" s="18">
        <v>1</v>
      </c>
      <c r="H124" s="18">
        <v>1</v>
      </c>
      <c r="I124" s="18">
        <v>1</v>
      </c>
      <c r="J124" s="18" t="s">
        <v>43</v>
      </c>
      <c r="K124" s="18">
        <v>1</v>
      </c>
      <c r="L124" s="18">
        <v>1</v>
      </c>
      <c r="M124" s="17">
        <v>80000</v>
      </c>
      <c r="N124" s="17">
        <v>80000</v>
      </c>
      <c r="O124" s="17">
        <v>800</v>
      </c>
      <c r="P124" s="17">
        <v>80800</v>
      </c>
      <c r="Q124" s="19">
        <v>496</v>
      </c>
      <c r="R124" s="20"/>
    </row>
    <row r="125" spans="1:18" x14ac:dyDescent="0.25">
      <c r="A125" s="18" t="s">
        <v>20</v>
      </c>
      <c r="B125" s="16">
        <v>46109.37777777778</v>
      </c>
      <c r="C125" s="18">
        <v>202613</v>
      </c>
      <c r="D125" s="15">
        <v>25205</v>
      </c>
      <c r="E125" s="15">
        <v>3</v>
      </c>
      <c r="F125" s="15" t="s">
        <v>30</v>
      </c>
      <c r="G125" s="15">
        <v>2</v>
      </c>
      <c r="H125" s="15">
        <v>16</v>
      </c>
      <c r="I125" s="15">
        <v>1</v>
      </c>
      <c r="J125" s="18" t="s">
        <v>31</v>
      </c>
      <c r="K125" s="15">
        <v>10</v>
      </c>
      <c r="L125" s="15">
        <v>0.75</v>
      </c>
      <c r="M125" s="17">
        <v>4000</v>
      </c>
      <c r="N125" s="17">
        <v>40000</v>
      </c>
      <c r="O125" s="17">
        <v>400</v>
      </c>
      <c r="P125" s="17">
        <v>40400</v>
      </c>
      <c r="Q125" s="19">
        <v>498</v>
      </c>
      <c r="R125" s="20"/>
    </row>
    <row r="126" spans="1:18" x14ac:dyDescent="0.25">
      <c r="A126" s="15" t="s">
        <v>20</v>
      </c>
      <c r="B126" s="22">
        <v>46109.375</v>
      </c>
      <c r="C126" s="18">
        <v>202613</v>
      </c>
      <c r="D126" s="18">
        <v>25201</v>
      </c>
      <c r="E126" s="18">
        <v>4</v>
      </c>
      <c r="F126" s="18" t="s">
        <v>29</v>
      </c>
      <c r="G126" s="18">
        <v>4</v>
      </c>
      <c r="H126" s="18">
        <v>32</v>
      </c>
      <c r="I126" s="18">
        <v>1</v>
      </c>
      <c r="J126" s="18" t="s">
        <v>27</v>
      </c>
      <c r="K126" s="18">
        <v>32</v>
      </c>
      <c r="L126" s="18">
        <v>0.35</v>
      </c>
      <c r="M126" s="17">
        <v>1800</v>
      </c>
      <c r="N126" s="17">
        <v>57600</v>
      </c>
      <c r="O126" s="17">
        <v>576</v>
      </c>
      <c r="P126" s="17">
        <v>58176</v>
      </c>
      <c r="Q126" s="19">
        <v>510</v>
      </c>
      <c r="R126" s="20"/>
    </row>
    <row r="127" spans="1:18" x14ac:dyDescent="0.25">
      <c r="A127" s="18" t="s">
        <v>20</v>
      </c>
      <c r="B127" s="16">
        <v>46109.373611111114</v>
      </c>
      <c r="C127" s="18">
        <v>202613</v>
      </c>
      <c r="D127" s="15">
        <v>26210</v>
      </c>
      <c r="E127" s="15">
        <v>1</v>
      </c>
      <c r="F127" s="15" t="s">
        <v>44</v>
      </c>
      <c r="G127" s="15">
        <v>7</v>
      </c>
      <c r="H127" s="15">
        <v>56</v>
      </c>
      <c r="I127" s="15">
        <v>1</v>
      </c>
      <c r="J127" s="15" t="s">
        <v>43</v>
      </c>
      <c r="K127" s="15">
        <v>25408</v>
      </c>
      <c r="L127" s="15">
        <v>0.35</v>
      </c>
      <c r="M127" s="17">
        <v>17</v>
      </c>
      <c r="N127" s="17">
        <v>431936</v>
      </c>
      <c r="O127" s="17">
        <v>4319.3599999999997</v>
      </c>
      <c r="P127" s="17">
        <v>436255.36</v>
      </c>
      <c r="Q127" s="19">
        <v>500</v>
      </c>
      <c r="R127" s="20"/>
    </row>
    <row r="128" spans="1:18" x14ac:dyDescent="0.25">
      <c r="A128" s="18" t="s">
        <v>20</v>
      </c>
      <c r="B128" s="22">
        <v>46111.412499999999</v>
      </c>
      <c r="C128" s="18">
        <v>202614</v>
      </c>
      <c r="D128" s="15">
        <v>26210</v>
      </c>
      <c r="E128" s="18">
        <v>2</v>
      </c>
      <c r="F128" s="18" t="s">
        <v>37</v>
      </c>
      <c r="G128" s="18">
        <v>2</v>
      </c>
      <c r="H128" s="18">
        <v>16</v>
      </c>
      <c r="I128" s="18">
        <v>1</v>
      </c>
      <c r="J128" s="18" t="s">
        <v>43</v>
      </c>
      <c r="K128" s="18">
        <v>11697</v>
      </c>
      <c r="L128" s="18">
        <v>0.16</v>
      </c>
      <c r="M128" s="17">
        <v>2</v>
      </c>
      <c r="N128" s="17">
        <f t="shared" ref="N128:N141" si="12">+K128*M128</f>
        <v>23394</v>
      </c>
      <c r="O128" s="17">
        <f t="shared" ref="O128:O183" si="13">+N128*0.01</f>
        <v>233.94</v>
      </c>
      <c r="P128" s="17">
        <f t="shared" ref="P128:P183" si="14">+N128+O128</f>
        <v>23627.94</v>
      </c>
      <c r="Q128" s="19">
        <v>508</v>
      </c>
      <c r="R128" s="20"/>
    </row>
    <row r="129" spans="1:18" x14ac:dyDescent="0.25">
      <c r="A129" s="15" t="s">
        <v>20</v>
      </c>
      <c r="B129" s="16">
        <v>46111.411111111112</v>
      </c>
      <c r="C129" s="18">
        <v>202614</v>
      </c>
      <c r="D129" s="15">
        <v>25205</v>
      </c>
      <c r="E129" s="15">
        <v>3</v>
      </c>
      <c r="F129" s="15" t="s">
        <v>30</v>
      </c>
      <c r="G129" s="15">
        <v>2</v>
      </c>
      <c r="H129" s="15">
        <v>16</v>
      </c>
      <c r="I129" s="15">
        <v>1</v>
      </c>
      <c r="J129" s="18" t="s">
        <v>31</v>
      </c>
      <c r="K129" s="15">
        <v>10</v>
      </c>
      <c r="L129" s="15">
        <v>0.7</v>
      </c>
      <c r="M129" s="17">
        <v>4000</v>
      </c>
      <c r="N129" s="17">
        <f t="shared" si="12"/>
        <v>40000</v>
      </c>
      <c r="O129" s="17">
        <f t="shared" si="13"/>
        <v>400</v>
      </c>
      <c r="P129" s="17">
        <f t="shared" si="14"/>
        <v>40400</v>
      </c>
      <c r="Q129" s="19">
        <v>507</v>
      </c>
      <c r="R129" s="20"/>
    </row>
    <row r="130" spans="1:18" x14ac:dyDescent="0.25">
      <c r="A130" s="18" t="s">
        <v>20</v>
      </c>
      <c r="B130" s="22">
        <v>46111.409722222219</v>
      </c>
      <c r="C130" s="18">
        <v>202614</v>
      </c>
      <c r="D130" s="18">
        <v>25201</v>
      </c>
      <c r="E130" s="18">
        <v>4</v>
      </c>
      <c r="F130" s="18" t="s">
        <v>29</v>
      </c>
      <c r="G130" s="18">
        <v>3</v>
      </c>
      <c r="H130" s="18">
        <v>24</v>
      </c>
      <c r="I130" s="18">
        <v>1</v>
      </c>
      <c r="J130" s="18" t="s">
        <v>27</v>
      </c>
      <c r="K130" s="18">
        <v>24</v>
      </c>
      <c r="L130" s="18">
        <v>0.33</v>
      </c>
      <c r="M130" s="17">
        <v>1800</v>
      </c>
      <c r="N130" s="17">
        <f t="shared" si="12"/>
        <v>43200</v>
      </c>
      <c r="O130" s="17">
        <f t="shared" si="13"/>
        <v>432</v>
      </c>
      <c r="P130" s="17">
        <f t="shared" si="14"/>
        <v>43632</v>
      </c>
      <c r="Q130" s="19">
        <v>506</v>
      </c>
      <c r="R130" s="20"/>
    </row>
    <row r="131" spans="1:18" x14ac:dyDescent="0.25">
      <c r="A131" s="15" t="s">
        <v>20</v>
      </c>
      <c r="B131" s="16">
        <v>46111.407638888886</v>
      </c>
      <c r="C131" s="18">
        <v>202614</v>
      </c>
      <c r="D131" s="15">
        <v>25206</v>
      </c>
      <c r="E131" s="15">
        <v>2</v>
      </c>
      <c r="F131" s="15" t="s">
        <v>44</v>
      </c>
      <c r="G131" s="15">
        <v>2</v>
      </c>
      <c r="H131" s="15">
        <v>6</v>
      </c>
      <c r="I131" s="15">
        <v>1</v>
      </c>
      <c r="J131" s="15" t="s">
        <v>43</v>
      </c>
      <c r="K131" s="15">
        <v>4936</v>
      </c>
      <c r="L131" s="15">
        <v>0.03</v>
      </c>
      <c r="M131" s="17">
        <v>17</v>
      </c>
      <c r="N131" s="17">
        <f t="shared" si="12"/>
        <v>83912</v>
      </c>
      <c r="O131" s="17">
        <f t="shared" si="13"/>
        <v>839.12</v>
      </c>
      <c r="P131" s="17">
        <f t="shared" si="14"/>
        <v>84751.12</v>
      </c>
      <c r="Q131" s="19">
        <v>509</v>
      </c>
      <c r="R131" s="20"/>
    </row>
    <row r="132" spans="1:18" x14ac:dyDescent="0.25">
      <c r="A132" s="18" t="s">
        <v>20</v>
      </c>
      <c r="B132" s="22">
        <v>46111.405555555553</v>
      </c>
      <c r="C132" s="18">
        <v>202614</v>
      </c>
      <c r="D132" s="15">
        <v>26210</v>
      </c>
      <c r="E132" s="18">
        <v>2</v>
      </c>
      <c r="F132" s="18" t="s">
        <v>44</v>
      </c>
      <c r="G132" s="18">
        <v>7</v>
      </c>
      <c r="H132" s="18">
        <v>56</v>
      </c>
      <c r="I132" s="18">
        <v>1</v>
      </c>
      <c r="J132" s="18" t="s">
        <v>43</v>
      </c>
      <c r="K132" s="18">
        <v>37907</v>
      </c>
      <c r="L132" s="18">
        <v>0.52</v>
      </c>
      <c r="M132" s="17">
        <v>17</v>
      </c>
      <c r="N132" s="17">
        <f t="shared" si="12"/>
        <v>644419</v>
      </c>
      <c r="O132" s="17">
        <f t="shared" si="13"/>
        <v>6444.1900000000005</v>
      </c>
      <c r="P132" s="17">
        <f t="shared" si="14"/>
        <v>650863.18999999994</v>
      </c>
      <c r="Q132" s="19">
        <v>509</v>
      </c>
      <c r="R132" s="20"/>
    </row>
    <row r="133" spans="1:18" x14ac:dyDescent="0.25">
      <c r="A133" s="18" t="s">
        <v>20</v>
      </c>
      <c r="B133" s="22">
        <v>46114.335416666669</v>
      </c>
      <c r="C133" s="18">
        <v>202614</v>
      </c>
      <c r="D133" s="15">
        <v>26210</v>
      </c>
      <c r="E133" s="18">
        <v>2</v>
      </c>
      <c r="F133" s="18" t="s">
        <v>44</v>
      </c>
      <c r="G133" s="18">
        <v>4</v>
      </c>
      <c r="H133" s="18">
        <v>32</v>
      </c>
      <c r="I133" s="18">
        <v>1</v>
      </c>
      <c r="J133" s="18" t="s">
        <v>43</v>
      </c>
      <c r="K133" s="18">
        <v>20519</v>
      </c>
      <c r="L133" s="18">
        <v>0.28000000000000003</v>
      </c>
      <c r="M133" s="17">
        <v>17</v>
      </c>
      <c r="N133" s="17">
        <f t="shared" si="12"/>
        <v>348823</v>
      </c>
      <c r="O133" s="17">
        <f t="shared" si="13"/>
        <v>3488.23</v>
      </c>
      <c r="P133" s="17">
        <f t="shared" si="14"/>
        <v>352311.23</v>
      </c>
      <c r="Q133" s="19">
        <v>509</v>
      </c>
      <c r="R133" s="20"/>
    </row>
    <row r="134" spans="1:18" x14ac:dyDescent="0.25">
      <c r="A134" s="15" t="s">
        <v>20</v>
      </c>
      <c r="B134" s="16">
        <v>46112.332638888889</v>
      </c>
      <c r="C134" s="18">
        <v>202614</v>
      </c>
      <c r="D134" s="15">
        <v>26210</v>
      </c>
      <c r="E134" s="15">
        <v>2</v>
      </c>
      <c r="F134" s="15" t="s">
        <v>44</v>
      </c>
      <c r="G134" s="15">
        <v>8</v>
      </c>
      <c r="H134" s="15">
        <v>64</v>
      </c>
      <c r="I134" s="15">
        <v>1</v>
      </c>
      <c r="J134" s="15" t="s">
        <v>43</v>
      </c>
      <c r="K134" s="15">
        <v>47710</v>
      </c>
      <c r="L134" s="15">
        <v>0.55000000000000004</v>
      </c>
      <c r="M134" s="17">
        <v>17</v>
      </c>
      <c r="N134" s="17">
        <f t="shared" si="12"/>
        <v>811070</v>
      </c>
      <c r="O134" s="17">
        <f t="shared" si="13"/>
        <v>8110.7</v>
      </c>
      <c r="P134" s="17">
        <f t="shared" si="14"/>
        <v>819180.7</v>
      </c>
      <c r="Q134" s="19">
        <v>509</v>
      </c>
      <c r="R134" s="20"/>
    </row>
    <row r="135" spans="1:18" x14ac:dyDescent="0.25">
      <c r="A135" s="18" t="s">
        <v>20</v>
      </c>
      <c r="B135" s="22">
        <v>46112.335416666669</v>
      </c>
      <c r="C135" s="18">
        <v>202614</v>
      </c>
      <c r="D135" s="15">
        <v>26210</v>
      </c>
      <c r="E135" s="18">
        <v>2</v>
      </c>
      <c r="F135" s="18" t="s">
        <v>37</v>
      </c>
      <c r="G135" s="18">
        <v>2</v>
      </c>
      <c r="H135" s="18">
        <v>16</v>
      </c>
      <c r="I135" s="18">
        <v>1</v>
      </c>
      <c r="J135" s="18" t="s">
        <v>43</v>
      </c>
      <c r="K135" s="18">
        <v>20016</v>
      </c>
      <c r="L135" s="18">
        <v>0.27</v>
      </c>
      <c r="M135" s="17">
        <v>2</v>
      </c>
      <c r="N135" s="17">
        <f t="shared" si="12"/>
        <v>40032</v>
      </c>
      <c r="O135" s="17">
        <f t="shared" si="13"/>
        <v>400.32</v>
      </c>
      <c r="P135" s="17">
        <f t="shared" si="14"/>
        <v>40432.32</v>
      </c>
      <c r="Q135" s="19">
        <v>508</v>
      </c>
      <c r="R135" s="20"/>
    </row>
    <row r="136" spans="1:18" x14ac:dyDescent="0.25">
      <c r="A136" s="15" t="s">
        <v>20</v>
      </c>
      <c r="B136" s="16">
        <v>46112.333333333336</v>
      </c>
      <c r="C136" s="18">
        <v>202614</v>
      </c>
      <c r="D136" s="15">
        <v>25205</v>
      </c>
      <c r="E136" s="15">
        <v>3</v>
      </c>
      <c r="F136" s="15" t="s">
        <v>30</v>
      </c>
      <c r="G136" s="15">
        <v>2</v>
      </c>
      <c r="H136" s="15">
        <v>16</v>
      </c>
      <c r="I136" s="15">
        <v>1</v>
      </c>
      <c r="J136" s="18" t="s">
        <v>31</v>
      </c>
      <c r="K136" s="15">
        <v>10</v>
      </c>
      <c r="L136" s="15">
        <v>0.7</v>
      </c>
      <c r="M136" s="17">
        <v>4000</v>
      </c>
      <c r="N136" s="17">
        <f t="shared" si="12"/>
        <v>40000</v>
      </c>
      <c r="O136" s="17">
        <f t="shared" si="13"/>
        <v>400</v>
      </c>
      <c r="P136" s="17">
        <f t="shared" si="14"/>
        <v>40400</v>
      </c>
      <c r="Q136" s="19">
        <v>507</v>
      </c>
      <c r="R136" s="20"/>
    </row>
    <row r="137" spans="1:18" x14ac:dyDescent="0.25">
      <c r="A137" s="18" t="s">
        <v>20</v>
      </c>
      <c r="B137" s="22">
        <v>46112.409722222219</v>
      </c>
      <c r="C137" s="18">
        <v>202614</v>
      </c>
      <c r="D137" s="18">
        <v>25201</v>
      </c>
      <c r="E137" s="18">
        <v>4</v>
      </c>
      <c r="F137" s="18" t="s">
        <v>29</v>
      </c>
      <c r="G137" s="18">
        <v>3</v>
      </c>
      <c r="H137" s="18">
        <v>32</v>
      </c>
      <c r="I137" s="18">
        <v>1</v>
      </c>
      <c r="J137" s="18" t="s">
        <v>27</v>
      </c>
      <c r="K137" s="18">
        <v>32</v>
      </c>
      <c r="L137" s="18">
        <v>0.3</v>
      </c>
      <c r="M137" s="17">
        <v>1800</v>
      </c>
      <c r="N137" s="17">
        <f t="shared" si="12"/>
        <v>57600</v>
      </c>
      <c r="O137" s="17">
        <f t="shared" si="13"/>
        <v>576</v>
      </c>
      <c r="P137" s="17">
        <f t="shared" si="14"/>
        <v>58176</v>
      </c>
      <c r="Q137" s="19">
        <v>506</v>
      </c>
      <c r="R137" s="20"/>
    </row>
    <row r="138" spans="1:18" x14ac:dyDescent="0.25">
      <c r="A138" s="15" t="s">
        <v>20</v>
      </c>
      <c r="B138" s="16">
        <v>46113.332638888889</v>
      </c>
      <c r="C138" s="18">
        <v>202614</v>
      </c>
      <c r="D138" s="15">
        <v>26210</v>
      </c>
      <c r="E138" s="15">
        <v>2</v>
      </c>
      <c r="F138" s="15" t="s">
        <v>44</v>
      </c>
      <c r="G138" s="15">
        <v>7</v>
      </c>
      <c r="H138" s="15">
        <v>56</v>
      </c>
      <c r="I138" s="15">
        <v>1</v>
      </c>
      <c r="J138" s="15" t="s">
        <v>43</v>
      </c>
      <c r="K138" s="15">
        <v>42060</v>
      </c>
      <c r="L138" s="15">
        <v>0.57999999999999996</v>
      </c>
      <c r="M138" s="17">
        <v>17</v>
      </c>
      <c r="N138" s="17">
        <f t="shared" si="12"/>
        <v>715020</v>
      </c>
      <c r="O138" s="17">
        <f t="shared" si="13"/>
        <v>7150.2</v>
      </c>
      <c r="P138" s="17">
        <f t="shared" si="14"/>
        <v>722170.2</v>
      </c>
      <c r="Q138" s="19">
        <v>509</v>
      </c>
      <c r="R138" s="20"/>
    </row>
    <row r="139" spans="1:18" x14ac:dyDescent="0.25">
      <c r="A139" s="18" t="s">
        <v>20</v>
      </c>
      <c r="B139" s="16">
        <v>46113.381249999999</v>
      </c>
      <c r="C139" s="18">
        <v>202614</v>
      </c>
      <c r="D139" s="18">
        <v>25201</v>
      </c>
      <c r="E139" s="15">
        <v>2</v>
      </c>
      <c r="F139" s="15" t="s">
        <v>29</v>
      </c>
      <c r="G139" s="15">
        <v>6</v>
      </c>
      <c r="H139" s="15">
        <v>48</v>
      </c>
      <c r="I139" s="15">
        <v>1</v>
      </c>
      <c r="J139" s="15" t="s">
        <v>27</v>
      </c>
      <c r="K139" s="15">
        <v>48</v>
      </c>
      <c r="L139" s="15">
        <v>0.78</v>
      </c>
      <c r="M139" s="17">
        <v>1800</v>
      </c>
      <c r="N139" s="17">
        <f t="shared" si="12"/>
        <v>86400</v>
      </c>
      <c r="O139" s="17">
        <f t="shared" si="13"/>
        <v>864</v>
      </c>
      <c r="P139" s="17">
        <f t="shared" si="14"/>
        <v>87264</v>
      </c>
      <c r="Q139" s="19">
        <v>506</v>
      </c>
      <c r="R139" s="20"/>
    </row>
    <row r="140" spans="1:18" x14ac:dyDescent="0.25">
      <c r="A140" s="15" t="s">
        <v>20</v>
      </c>
      <c r="B140" s="16">
        <v>46113.333333333336</v>
      </c>
      <c r="C140" s="18">
        <v>202614</v>
      </c>
      <c r="D140" s="15">
        <v>25205</v>
      </c>
      <c r="E140" s="15">
        <v>3</v>
      </c>
      <c r="F140" s="15" t="s">
        <v>30</v>
      </c>
      <c r="G140" s="15">
        <v>2</v>
      </c>
      <c r="H140" s="15">
        <v>8</v>
      </c>
      <c r="I140" s="15">
        <v>1</v>
      </c>
      <c r="J140" s="18" t="s">
        <v>31</v>
      </c>
      <c r="K140" s="15">
        <v>5</v>
      </c>
      <c r="L140" s="15">
        <v>0.35</v>
      </c>
      <c r="M140" s="17">
        <v>4000</v>
      </c>
      <c r="N140" s="17">
        <f t="shared" si="12"/>
        <v>20000</v>
      </c>
      <c r="O140" s="17">
        <f t="shared" si="13"/>
        <v>200</v>
      </c>
      <c r="P140" s="17">
        <f t="shared" si="14"/>
        <v>20200</v>
      </c>
      <c r="Q140" s="19">
        <v>507</v>
      </c>
      <c r="R140" s="20"/>
    </row>
    <row r="141" spans="1:18" x14ac:dyDescent="0.25">
      <c r="A141" s="18" t="s">
        <v>20</v>
      </c>
      <c r="B141" s="22">
        <v>46113.335416666669</v>
      </c>
      <c r="C141" s="18">
        <v>202614</v>
      </c>
      <c r="D141" s="15">
        <v>26210</v>
      </c>
      <c r="E141" s="18">
        <v>2</v>
      </c>
      <c r="F141" s="18" t="s">
        <v>37</v>
      </c>
      <c r="G141" s="18">
        <v>2</v>
      </c>
      <c r="H141" s="18">
        <v>16</v>
      </c>
      <c r="I141" s="18">
        <v>1</v>
      </c>
      <c r="J141" s="18" t="s">
        <v>43</v>
      </c>
      <c r="K141" s="18">
        <v>25824</v>
      </c>
      <c r="L141" s="18">
        <v>0.35</v>
      </c>
      <c r="M141" s="17">
        <v>2</v>
      </c>
      <c r="N141" s="17">
        <f t="shared" si="12"/>
        <v>51648</v>
      </c>
      <c r="O141" s="17">
        <f t="shared" si="13"/>
        <v>516.48</v>
      </c>
      <c r="P141" s="17">
        <f t="shared" si="14"/>
        <v>52164.480000000003</v>
      </c>
      <c r="Q141" s="19">
        <v>508</v>
      </c>
      <c r="R141" s="20"/>
    </row>
    <row r="142" spans="1:18" x14ac:dyDescent="0.25">
      <c r="A142" s="18" t="s">
        <v>20</v>
      </c>
      <c r="B142" s="22">
        <v>46118.589583333334</v>
      </c>
      <c r="C142" s="18">
        <v>202615</v>
      </c>
      <c r="D142" s="15">
        <v>26210</v>
      </c>
      <c r="E142" s="18">
        <v>1</v>
      </c>
      <c r="F142" s="18" t="s">
        <v>46</v>
      </c>
      <c r="G142" s="18">
        <v>2</v>
      </c>
      <c r="H142" s="18">
        <v>22</v>
      </c>
      <c r="I142" s="18">
        <v>1</v>
      </c>
      <c r="J142" s="18" t="s">
        <v>27</v>
      </c>
      <c r="K142" s="18">
        <v>22</v>
      </c>
      <c r="L142" s="18">
        <v>0.01</v>
      </c>
      <c r="M142" s="17">
        <v>1800</v>
      </c>
      <c r="N142" s="17">
        <f>+K142*M142</f>
        <v>39600</v>
      </c>
      <c r="O142" s="17">
        <f t="shared" si="13"/>
        <v>396</v>
      </c>
      <c r="P142" s="17">
        <f t="shared" si="14"/>
        <v>39996</v>
      </c>
      <c r="Q142" s="19">
        <v>515</v>
      </c>
      <c r="R142" s="20"/>
    </row>
    <row r="143" spans="1:18" x14ac:dyDescent="0.25">
      <c r="A143" s="15" t="s">
        <v>20</v>
      </c>
      <c r="B143" s="16">
        <v>46118.356944444444</v>
      </c>
      <c r="C143" s="18">
        <v>202615</v>
      </c>
      <c r="D143" s="18">
        <v>25201</v>
      </c>
      <c r="E143" s="15">
        <v>4</v>
      </c>
      <c r="F143" s="15" t="s">
        <v>29</v>
      </c>
      <c r="G143" s="15">
        <v>7</v>
      </c>
      <c r="H143" s="15">
        <v>56</v>
      </c>
      <c r="I143" s="15">
        <v>1</v>
      </c>
      <c r="J143" s="15" t="s">
        <v>27</v>
      </c>
      <c r="K143" s="15">
        <v>56</v>
      </c>
      <c r="L143" s="15">
        <v>1.08</v>
      </c>
      <c r="M143" s="17">
        <v>1800</v>
      </c>
      <c r="N143" s="17">
        <f>+K143*M143</f>
        <v>100800</v>
      </c>
      <c r="O143" s="17">
        <f t="shared" si="13"/>
        <v>1008</v>
      </c>
      <c r="P143" s="17">
        <f t="shared" si="14"/>
        <v>101808</v>
      </c>
      <c r="Q143" s="19">
        <v>516</v>
      </c>
      <c r="R143" s="20"/>
    </row>
    <row r="144" spans="1:18" x14ac:dyDescent="0.25">
      <c r="A144" s="18" t="s">
        <v>20</v>
      </c>
      <c r="B144" s="22">
        <v>46118.351388888892</v>
      </c>
      <c r="C144" s="18">
        <v>202615</v>
      </c>
      <c r="D144" s="15">
        <v>26210</v>
      </c>
      <c r="E144" s="18">
        <v>2</v>
      </c>
      <c r="F144" s="18" t="s">
        <v>44</v>
      </c>
      <c r="G144" s="18">
        <v>4</v>
      </c>
      <c r="H144" s="18">
        <v>32</v>
      </c>
      <c r="I144" s="18">
        <v>1</v>
      </c>
      <c r="J144" s="18" t="s">
        <v>43</v>
      </c>
      <c r="K144" s="18">
        <v>21336</v>
      </c>
      <c r="L144" s="18">
        <v>0.28999999999999998</v>
      </c>
      <c r="M144" s="17">
        <v>17</v>
      </c>
      <c r="N144" s="17">
        <f>+K144*M144</f>
        <v>362712</v>
      </c>
      <c r="O144" s="17">
        <f t="shared" si="13"/>
        <v>3627.12</v>
      </c>
      <c r="P144" s="17">
        <f t="shared" si="14"/>
        <v>366339.12</v>
      </c>
      <c r="Q144" s="19">
        <v>517</v>
      </c>
      <c r="R144" s="20"/>
    </row>
    <row r="145" spans="1:18" x14ac:dyDescent="0.25">
      <c r="A145" s="18" t="s">
        <v>20</v>
      </c>
      <c r="B145" s="22">
        <v>46119.359722222223</v>
      </c>
      <c r="C145" s="18">
        <v>202615</v>
      </c>
      <c r="D145" s="15">
        <v>26210</v>
      </c>
      <c r="E145" s="18">
        <v>2</v>
      </c>
      <c r="F145" s="18" t="s">
        <v>46</v>
      </c>
      <c r="G145" s="18">
        <v>3</v>
      </c>
      <c r="H145" s="18">
        <v>24</v>
      </c>
      <c r="I145" s="18">
        <v>1</v>
      </c>
      <c r="J145" s="18" t="s">
        <v>27</v>
      </c>
      <c r="K145" s="18">
        <v>24</v>
      </c>
      <c r="L145" s="18">
        <v>0.1</v>
      </c>
      <c r="M145" s="17">
        <v>1800</v>
      </c>
      <c r="N145" s="17">
        <f>+H145*M145</f>
        <v>43200</v>
      </c>
      <c r="O145" s="17">
        <f t="shared" si="13"/>
        <v>432</v>
      </c>
      <c r="P145" s="17">
        <f t="shared" si="14"/>
        <v>43632</v>
      </c>
      <c r="Q145" s="19">
        <v>515</v>
      </c>
      <c r="R145" s="20"/>
    </row>
    <row r="146" spans="1:18" x14ac:dyDescent="0.25">
      <c r="A146" s="15" t="s">
        <v>20</v>
      </c>
      <c r="B146" s="16">
        <v>46119.357638888891</v>
      </c>
      <c r="C146" s="18">
        <v>202615</v>
      </c>
      <c r="D146" s="18">
        <v>25201</v>
      </c>
      <c r="E146" s="15">
        <v>2</v>
      </c>
      <c r="F146" s="15" t="s">
        <v>29</v>
      </c>
      <c r="G146" s="15">
        <v>3</v>
      </c>
      <c r="H146" s="15">
        <v>24</v>
      </c>
      <c r="I146" s="15">
        <v>2</v>
      </c>
      <c r="J146" s="15" t="s">
        <v>27</v>
      </c>
      <c r="K146" s="15">
        <v>24</v>
      </c>
      <c r="L146" s="15">
        <v>0.4</v>
      </c>
      <c r="M146" s="17">
        <v>1800</v>
      </c>
      <c r="N146" s="17">
        <f>+K146*M146</f>
        <v>43200</v>
      </c>
      <c r="O146" s="17">
        <f t="shared" si="13"/>
        <v>432</v>
      </c>
      <c r="P146" s="17">
        <f t="shared" si="14"/>
        <v>43632</v>
      </c>
      <c r="Q146" s="19">
        <v>516</v>
      </c>
      <c r="R146" s="20"/>
    </row>
    <row r="147" spans="1:18" x14ac:dyDescent="0.25">
      <c r="A147" s="18" t="s">
        <v>20</v>
      </c>
      <c r="B147" s="22">
        <v>46119.353472222225</v>
      </c>
      <c r="C147" s="18">
        <v>202615</v>
      </c>
      <c r="D147" s="15">
        <v>26210</v>
      </c>
      <c r="E147" s="18">
        <v>2</v>
      </c>
      <c r="F147" s="18" t="s">
        <v>44</v>
      </c>
      <c r="G147" s="18">
        <v>6</v>
      </c>
      <c r="H147" s="18">
        <v>48</v>
      </c>
      <c r="I147" s="18">
        <v>1</v>
      </c>
      <c r="J147" s="18" t="s">
        <v>43</v>
      </c>
      <c r="K147" s="18">
        <v>27465</v>
      </c>
      <c r="L147" s="18">
        <v>0.38</v>
      </c>
      <c r="M147" s="17">
        <v>17</v>
      </c>
      <c r="N147" s="17">
        <f>+K147*M147</f>
        <v>466905</v>
      </c>
      <c r="O147" s="17">
        <f t="shared" si="13"/>
        <v>4669.05</v>
      </c>
      <c r="P147" s="17">
        <f t="shared" si="14"/>
        <v>471574.05</v>
      </c>
      <c r="Q147" s="19">
        <v>517</v>
      </c>
      <c r="R147" s="20"/>
    </row>
    <row r="148" spans="1:18" x14ac:dyDescent="0.25">
      <c r="A148" s="18" t="s">
        <v>20</v>
      </c>
      <c r="B148" s="22">
        <v>46120.372916666667</v>
      </c>
      <c r="C148" s="18">
        <v>202615</v>
      </c>
      <c r="D148" s="15">
        <v>26210</v>
      </c>
      <c r="E148" s="18">
        <v>2</v>
      </c>
      <c r="F148" s="18" t="s">
        <v>46</v>
      </c>
      <c r="G148" s="18">
        <v>2</v>
      </c>
      <c r="H148" s="18">
        <v>16</v>
      </c>
      <c r="I148" s="18">
        <v>1</v>
      </c>
      <c r="J148" s="18" t="s">
        <v>27</v>
      </c>
      <c r="K148" s="18">
        <v>16</v>
      </c>
      <c r="L148" s="18">
        <v>0.01</v>
      </c>
      <c r="M148" s="17">
        <v>1800</v>
      </c>
      <c r="N148" s="17">
        <f>+K148*M148</f>
        <v>28800</v>
      </c>
      <c r="O148" s="17">
        <f t="shared" si="13"/>
        <v>288</v>
      </c>
      <c r="P148" s="17">
        <f t="shared" si="14"/>
        <v>29088</v>
      </c>
      <c r="Q148" s="19">
        <v>515</v>
      </c>
      <c r="R148" s="20"/>
    </row>
    <row r="149" spans="1:18" x14ac:dyDescent="0.25">
      <c r="A149" s="15" t="s">
        <v>20</v>
      </c>
      <c r="B149" s="16">
        <v>46120.371527777781</v>
      </c>
      <c r="C149" s="18">
        <v>202615</v>
      </c>
      <c r="D149" s="18">
        <v>25201</v>
      </c>
      <c r="E149" s="15">
        <v>2</v>
      </c>
      <c r="F149" s="15" t="s">
        <v>29</v>
      </c>
      <c r="G149" s="15">
        <v>7</v>
      </c>
      <c r="H149" s="15">
        <v>56</v>
      </c>
      <c r="I149" s="15">
        <v>2</v>
      </c>
      <c r="J149" s="15" t="s">
        <v>27</v>
      </c>
      <c r="K149" s="15">
        <v>56</v>
      </c>
      <c r="L149" s="15">
        <v>1.1000000000000001</v>
      </c>
      <c r="M149" s="17">
        <v>1800</v>
      </c>
      <c r="N149" s="17">
        <f>+K149*M149</f>
        <v>100800</v>
      </c>
      <c r="O149" s="17">
        <f t="shared" si="13"/>
        <v>1008</v>
      </c>
      <c r="P149" s="17">
        <f t="shared" si="14"/>
        <v>101808</v>
      </c>
      <c r="Q149" s="19">
        <v>516</v>
      </c>
      <c r="R149" s="20"/>
    </row>
    <row r="150" spans="1:18" x14ac:dyDescent="0.25">
      <c r="A150" s="18" t="s">
        <v>20</v>
      </c>
      <c r="B150" s="22">
        <v>46120.368750000001</v>
      </c>
      <c r="C150" s="18">
        <v>202615</v>
      </c>
      <c r="D150" s="15">
        <v>26210</v>
      </c>
      <c r="E150" s="18">
        <v>2</v>
      </c>
      <c r="F150" s="18" t="s">
        <v>44</v>
      </c>
      <c r="G150" s="18">
        <v>7</v>
      </c>
      <c r="H150" s="18">
        <v>56</v>
      </c>
      <c r="I150" s="18">
        <v>1</v>
      </c>
      <c r="J150" s="18" t="s">
        <v>43</v>
      </c>
      <c r="K150" s="18">
        <v>32795</v>
      </c>
      <c r="L150" s="18">
        <v>0.45</v>
      </c>
      <c r="M150" s="17">
        <v>17</v>
      </c>
      <c r="N150" s="17">
        <f>+K150*M150</f>
        <v>557515</v>
      </c>
      <c r="O150" s="17">
        <f t="shared" si="13"/>
        <v>5575.1500000000005</v>
      </c>
      <c r="P150" s="17">
        <f t="shared" si="14"/>
        <v>563090.15</v>
      </c>
      <c r="Q150" s="19">
        <v>517</v>
      </c>
      <c r="R150" s="20"/>
    </row>
    <row r="151" spans="1:18" x14ac:dyDescent="0.25">
      <c r="A151" s="18" t="s">
        <v>20</v>
      </c>
      <c r="B151" s="22">
        <v>46121.39166666667</v>
      </c>
      <c r="C151" s="18">
        <v>202615</v>
      </c>
      <c r="D151" s="15">
        <v>25205</v>
      </c>
      <c r="E151" s="18">
        <v>3</v>
      </c>
      <c r="F151" s="18" t="s">
        <v>30</v>
      </c>
      <c r="G151" s="18">
        <v>2</v>
      </c>
      <c r="H151" s="18">
        <v>16</v>
      </c>
      <c r="I151" s="18">
        <v>1</v>
      </c>
      <c r="J151" s="18" t="s">
        <v>31</v>
      </c>
      <c r="K151" s="18">
        <v>10</v>
      </c>
      <c r="L151" s="18">
        <v>0.7</v>
      </c>
      <c r="M151" s="17">
        <v>4000</v>
      </c>
      <c r="N151" s="17">
        <f t="shared" ref="N151:N162" si="15">+K151*M151</f>
        <v>40000</v>
      </c>
      <c r="O151" s="17">
        <f t="shared" si="13"/>
        <v>400</v>
      </c>
      <c r="P151" s="17">
        <f t="shared" si="14"/>
        <v>40400</v>
      </c>
      <c r="Q151" s="19">
        <v>518</v>
      </c>
      <c r="R151" s="20"/>
    </row>
    <row r="152" spans="1:18" x14ac:dyDescent="0.25">
      <c r="A152" s="15" t="s">
        <v>20</v>
      </c>
      <c r="B152" s="16">
        <v>46121.38958333333</v>
      </c>
      <c r="C152" s="18">
        <v>202615</v>
      </c>
      <c r="D152" s="15">
        <v>26210</v>
      </c>
      <c r="E152" s="15">
        <v>2</v>
      </c>
      <c r="F152" s="15" t="s">
        <v>46</v>
      </c>
      <c r="G152" s="15">
        <v>3</v>
      </c>
      <c r="H152" s="15">
        <v>24</v>
      </c>
      <c r="I152" s="15">
        <v>1</v>
      </c>
      <c r="J152" s="15" t="s">
        <v>27</v>
      </c>
      <c r="K152" s="15">
        <v>24</v>
      </c>
      <c r="L152" s="15">
        <v>0.01</v>
      </c>
      <c r="M152" s="17">
        <v>1800</v>
      </c>
      <c r="N152" s="17">
        <f t="shared" si="15"/>
        <v>43200</v>
      </c>
      <c r="O152" s="17">
        <f t="shared" si="13"/>
        <v>432</v>
      </c>
      <c r="P152" s="17">
        <f t="shared" si="14"/>
        <v>43632</v>
      </c>
      <c r="Q152" s="19">
        <v>515</v>
      </c>
      <c r="R152" s="20"/>
    </row>
    <row r="153" spans="1:18" x14ac:dyDescent="0.25">
      <c r="A153" s="18" t="s">
        <v>20</v>
      </c>
      <c r="B153" s="22">
        <v>46121.388194444444</v>
      </c>
      <c r="C153" s="18">
        <v>202615</v>
      </c>
      <c r="D153" s="18">
        <v>25201</v>
      </c>
      <c r="E153" s="18">
        <v>1</v>
      </c>
      <c r="F153" s="18" t="s">
        <v>29</v>
      </c>
      <c r="G153" s="18">
        <v>3</v>
      </c>
      <c r="H153" s="18">
        <v>24</v>
      </c>
      <c r="I153" s="18">
        <v>2</v>
      </c>
      <c r="J153" s="18" t="s">
        <v>27</v>
      </c>
      <c r="K153" s="18">
        <v>24</v>
      </c>
      <c r="L153" s="18">
        <v>0.96</v>
      </c>
      <c r="M153" s="17">
        <v>1800</v>
      </c>
      <c r="N153" s="17">
        <f t="shared" si="15"/>
        <v>43200</v>
      </c>
      <c r="O153" s="17">
        <f t="shared" si="13"/>
        <v>432</v>
      </c>
      <c r="P153" s="17">
        <f t="shared" si="14"/>
        <v>43632</v>
      </c>
      <c r="Q153" s="19">
        <v>516</v>
      </c>
      <c r="R153" s="20"/>
    </row>
    <row r="154" spans="1:18" x14ac:dyDescent="0.25">
      <c r="A154" s="15" t="s">
        <v>20</v>
      </c>
      <c r="B154" s="16">
        <v>46121.385416666664</v>
      </c>
      <c r="C154" s="18">
        <v>202615</v>
      </c>
      <c r="D154" s="15">
        <v>26210</v>
      </c>
      <c r="E154" s="15">
        <v>2</v>
      </c>
      <c r="F154" s="15" t="s">
        <v>44</v>
      </c>
      <c r="G154" s="15">
        <v>7</v>
      </c>
      <c r="H154" s="15">
        <v>10</v>
      </c>
      <c r="I154" s="15">
        <v>1</v>
      </c>
      <c r="J154" s="15" t="s">
        <v>43</v>
      </c>
      <c r="K154" s="15">
        <v>16331</v>
      </c>
      <c r="L154" s="15">
        <v>0.22</v>
      </c>
      <c r="M154" s="17">
        <v>17</v>
      </c>
      <c r="N154" s="17">
        <f t="shared" si="15"/>
        <v>277627</v>
      </c>
      <c r="O154" s="17">
        <f t="shared" si="13"/>
        <v>2776.27</v>
      </c>
      <c r="P154" s="17">
        <f t="shared" si="14"/>
        <v>280403.27</v>
      </c>
      <c r="Q154" s="19">
        <v>517</v>
      </c>
      <c r="R154" s="20"/>
    </row>
    <row r="155" spans="1:18" x14ac:dyDescent="0.25">
      <c r="A155" s="18" t="s">
        <v>20</v>
      </c>
      <c r="B155" s="22">
        <v>46122.322916666664</v>
      </c>
      <c r="C155" s="18">
        <v>202615</v>
      </c>
      <c r="D155" s="15">
        <v>25205</v>
      </c>
      <c r="E155" s="18">
        <v>3</v>
      </c>
      <c r="F155" s="18" t="s">
        <v>30</v>
      </c>
      <c r="G155" s="18">
        <v>2</v>
      </c>
      <c r="H155" s="18">
        <v>16</v>
      </c>
      <c r="I155" s="18">
        <v>1</v>
      </c>
      <c r="J155" s="18" t="s">
        <v>31</v>
      </c>
      <c r="K155" s="18">
        <v>10</v>
      </c>
      <c r="L155" s="18">
        <v>0.7</v>
      </c>
      <c r="M155" s="17">
        <v>4000</v>
      </c>
      <c r="N155" s="17">
        <f t="shared" si="15"/>
        <v>40000</v>
      </c>
      <c r="O155" s="17">
        <f t="shared" si="13"/>
        <v>400</v>
      </c>
      <c r="P155" s="17">
        <f t="shared" si="14"/>
        <v>40400</v>
      </c>
      <c r="Q155" s="19">
        <v>518</v>
      </c>
      <c r="R155" s="20"/>
    </row>
    <row r="156" spans="1:18" x14ac:dyDescent="0.25">
      <c r="A156" s="15" t="s">
        <v>20</v>
      </c>
      <c r="B156" s="16">
        <v>46122.321527777778</v>
      </c>
      <c r="C156" s="18">
        <v>202615</v>
      </c>
      <c r="D156" s="15">
        <v>26210</v>
      </c>
      <c r="E156" s="15">
        <v>2</v>
      </c>
      <c r="F156" s="15" t="s">
        <v>46</v>
      </c>
      <c r="G156" s="15">
        <v>3</v>
      </c>
      <c r="H156" s="15">
        <v>24</v>
      </c>
      <c r="I156" s="15">
        <v>1</v>
      </c>
      <c r="J156" s="15" t="s">
        <v>27</v>
      </c>
      <c r="K156" s="15">
        <v>24</v>
      </c>
      <c r="L156" s="15">
        <v>0.01</v>
      </c>
      <c r="M156" s="17">
        <v>1800</v>
      </c>
      <c r="N156" s="17">
        <f t="shared" si="15"/>
        <v>43200</v>
      </c>
      <c r="O156" s="17">
        <f t="shared" si="13"/>
        <v>432</v>
      </c>
      <c r="P156" s="17">
        <f t="shared" si="14"/>
        <v>43632</v>
      </c>
      <c r="Q156" s="19">
        <v>515</v>
      </c>
      <c r="R156" s="20"/>
    </row>
    <row r="157" spans="1:18" x14ac:dyDescent="0.25">
      <c r="A157" s="18" t="s">
        <v>20</v>
      </c>
      <c r="B157" s="22">
        <v>46122.319444444445</v>
      </c>
      <c r="C157" s="18">
        <v>202615</v>
      </c>
      <c r="D157" s="15">
        <v>25205</v>
      </c>
      <c r="E157" s="18">
        <v>1</v>
      </c>
      <c r="F157" s="18" t="s">
        <v>29</v>
      </c>
      <c r="G157" s="18">
        <v>3</v>
      </c>
      <c r="H157" s="18">
        <v>24</v>
      </c>
      <c r="I157" s="18">
        <v>1</v>
      </c>
      <c r="J157" s="18" t="s">
        <v>27</v>
      </c>
      <c r="K157" s="18">
        <v>24</v>
      </c>
      <c r="L157" s="18">
        <v>0.23</v>
      </c>
      <c r="M157" s="17">
        <v>1800</v>
      </c>
      <c r="N157" s="17">
        <f t="shared" si="15"/>
        <v>43200</v>
      </c>
      <c r="O157" s="17">
        <f t="shared" si="13"/>
        <v>432</v>
      </c>
      <c r="P157" s="17">
        <f t="shared" si="14"/>
        <v>43632</v>
      </c>
      <c r="Q157" s="19">
        <v>516</v>
      </c>
      <c r="R157" s="20"/>
    </row>
    <row r="158" spans="1:18" x14ac:dyDescent="0.25">
      <c r="A158" s="15" t="s">
        <v>20</v>
      </c>
      <c r="B158" s="16">
        <v>46122.313194444447</v>
      </c>
      <c r="C158" s="18">
        <v>202615</v>
      </c>
      <c r="D158" s="15">
        <v>26210</v>
      </c>
      <c r="E158" s="15">
        <v>2</v>
      </c>
      <c r="F158" s="15" t="s">
        <v>44</v>
      </c>
      <c r="G158" s="15">
        <v>6</v>
      </c>
      <c r="H158" s="15">
        <v>18</v>
      </c>
      <c r="I158" s="15">
        <v>1</v>
      </c>
      <c r="J158" s="15" t="s">
        <v>43</v>
      </c>
      <c r="K158" s="15">
        <v>17218</v>
      </c>
      <c r="L158" s="15">
        <v>0.23</v>
      </c>
      <c r="M158" s="17">
        <v>17</v>
      </c>
      <c r="N158" s="17">
        <f t="shared" si="15"/>
        <v>292706</v>
      </c>
      <c r="O158" s="17">
        <f t="shared" si="13"/>
        <v>2927.06</v>
      </c>
      <c r="P158" s="17">
        <f t="shared" si="14"/>
        <v>295633.06</v>
      </c>
      <c r="Q158" s="15">
        <v>517</v>
      </c>
      <c r="R158" s="20"/>
    </row>
    <row r="159" spans="1:18" x14ac:dyDescent="0.25">
      <c r="A159" s="18" t="s">
        <v>20</v>
      </c>
      <c r="B159" s="22">
        <v>46123.345138888886</v>
      </c>
      <c r="C159" s="18">
        <v>202615</v>
      </c>
      <c r="D159" s="15">
        <v>26210</v>
      </c>
      <c r="E159" s="18">
        <v>2</v>
      </c>
      <c r="F159" s="18" t="s">
        <v>22</v>
      </c>
      <c r="G159" s="18">
        <v>2</v>
      </c>
      <c r="H159" s="18">
        <v>16</v>
      </c>
      <c r="I159" s="18">
        <v>1</v>
      </c>
      <c r="J159" s="18" t="s">
        <v>43</v>
      </c>
      <c r="K159" s="18">
        <v>1</v>
      </c>
      <c r="L159" s="18">
        <v>0.02</v>
      </c>
      <c r="M159" s="17">
        <v>80000</v>
      </c>
      <c r="N159" s="17">
        <f t="shared" si="15"/>
        <v>80000</v>
      </c>
      <c r="O159" s="17">
        <f t="shared" si="13"/>
        <v>800</v>
      </c>
      <c r="P159" s="17">
        <f t="shared" si="14"/>
        <v>80800</v>
      </c>
      <c r="Q159" s="15">
        <v>520</v>
      </c>
      <c r="R159" s="20"/>
    </row>
    <row r="160" spans="1:18" x14ac:dyDescent="0.25">
      <c r="A160" s="15" t="s">
        <v>20</v>
      </c>
      <c r="B160" s="16">
        <v>46123.342361111114</v>
      </c>
      <c r="C160" s="18">
        <v>202615</v>
      </c>
      <c r="D160" s="15">
        <v>26210</v>
      </c>
      <c r="E160" s="15">
        <v>2</v>
      </c>
      <c r="F160" s="15" t="s">
        <v>37</v>
      </c>
      <c r="G160" s="15">
        <v>2</v>
      </c>
      <c r="H160" s="15">
        <v>16</v>
      </c>
      <c r="I160" s="15">
        <v>1</v>
      </c>
      <c r="J160" s="15" t="s">
        <v>43</v>
      </c>
      <c r="K160" s="15">
        <v>20800</v>
      </c>
      <c r="L160" s="15">
        <v>0.28000000000000003</v>
      </c>
      <c r="M160" s="17">
        <v>2</v>
      </c>
      <c r="N160" s="17">
        <f t="shared" si="15"/>
        <v>41600</v>
      </c>
      <c r="O160" s="17">
        <f t="shared" si="13"/>
        <v>416</v>
      </c>
      <c r="P160" s="17">
        <f t="shared" si="14"/>
        <v>42016</v>
      </c>
      <c r="Q160" s="15">
        <v>519</v>
      </c>
      <c r="R160" s="20"/>
    </row>
    <row r="161" spans="1:18" x14ac:dyDescent="0.25">
      <c r="A161" s="18" t="s">
        <v>20</v>
      </c>
      <c r="B161" s="22">
        <v>46123.340277777781</v>
      </c>
      <c r="C161" s="18">
        <v>202615</v>
      </c>
      <c r="D161" s="15">
        <v>25205</v>
      </c>
      <c r="E161" s="18">
        <v>1</v>
      </c>
      <c r="F161" s="18" t="s">
        <v>29</v>
      </c>
      <c r="G161" s="18">
        <v>5</v>
      </c>
      <c r="H161" s="18">
        <v>40</v>
      </c>
      <c r="I161" s="18">
        <v>1</v>
      </c>
      <c r="J161" s="18" t="s">
        <v>27</v>
      </c>
      <c r="K161" s="18">
        <v>40</v>
      </c>
      <c r="L161" s="18">
        <v>1.1299999999999999</v>
      </c>
      <c r="M161" s="17">
        <v>1800</v>
      </c>
      <c r="N161" s="17">
        <f t="shared" si="15"/>
        <v>72000</v>
      </c>
      <c r="O161" s="17">
        <f t="shared" si="13"/>
        <v>720</v>
      </c>
      <c r="P161" s="17">
        <f t="shared" si="14"/>
        <v>72720</v>
      </c>
      <c r="Q161" s="15">
        <v>516</v>
      </c>
      <c r="R161" s="20"/>
    </row>
    <row r="162" spans="1:18" x14ac:dyDescent="0.25">
      <c r="A162" s="15" t="s">
        <v>20</v>
      </c>
      <c r="B162" s="16">
        <v>46123.338194444441</v>
      </c>
      <c r="C162" s="18">
        <v>202615</v>
      </c>
      <c r="D162" s="15">
        <v>26210</v>
      </c>
      <c r="E162" s="15">
        <v>2</v>
      </c>
      <c r="F162" s="15" t="s">
        <v>44</v>
      </c>
      <c r="G162" s="15">
        <v>7</v>
      </c>
      <c r="H162" s="15">
        <v>56</v>
      </c>
      <c r="I162" s="15">
        <v>1</v>
      </c>
      <c r="J162" s="15" t="s">
        <v>43</v>
      </c>
      <c r="K162" s="15">
        <v>30712</v>
      </c>
      <c r="L162" s="15">
        <v>0.42</v>
      </c>
      <c r="M162" s="17">
        <v>17</v>
      </c>
      <c r="N162" s="17">
        <f t="shared" si="15"/>
        <v>522104</v>
      </c>
      <c r="O162" s="17">
        <f t="shared" si="13"/>
        <v>5221.04</v>
      </c>
      <c r="P162" s="17">
        <f t="shared" si="14"/>
        <v>527325.04</v>
      </c>
      <c r="Q162" s="15">
        <v>517</v>
      </c>
      <c r="R162" s="20"/>
    </row>
    <row r="163" spans="1:18" x14ac:dyDescent="0.25">
      <c r="A163" s="18" t="s">
        <v>20</v>
      </c>
      <c r="B163" s="22">
        <v>46125.361805555556</v>
      </c>
      <c r="C163" s="18">
        <v>202616</v>
      </c>
      <c r="D163" s="15">
        <v>26210</v>
      </c>
      <c r="E163" s="18">
        <v>2</v>
      </c>
      <c r="F163" s="18" t="s">
        <v>37</v>
      </c>
      <c r="G163" s="18">
        <v>2</v>
      </c>
      <c r="H163" s="18">
        <v>20</v>
      </c>
      <c r="I163" s="18">
        <v>1</v>
      </c>
      <c r="J163" s="18" t="s">
        <v>43</v>
      </c>
      <c r="K163" s="18">
        <v>13796</v>
      </c>
      <c r="L163" s="18">
        <v>0.19</v>
      </c>
      <c r="M163" s="17">
        <v>2</v>
      </c>
      <c r="N163" s="17">
        <f>+K163*M163</f>
        <v>27592</v>
      </c>
      <c r="O163" s="17">
        <f t="shared" si="13"/>
        <v>275.92</v>
      </c>
      <c r="P163" s="17">
        <f t="shared" si="14"/>
        <v>27867.919999999998</v>
      </c>
      <c r="Q163" s="19">
        <v>536</v>
      </c>
      <c r="R163" s="20"/>
    </row>
    <row r="164" spans="1:18" x14ac:dyDescent="0.25">
      <c r="A164" s="15" t="s">
        <v>20</v>
      </c>
      <c r="B164" s="16">
        <v>46125.357638888891</v>
      </c>
      <c r="C164" s="18">
        <v>202616</v>
      </c>
      <c r="D164" s="15">
        <v>26210</v>
      </c>
      <c r="E164" s="15">
        <v>2</v>
      </c>
      <c r="F164" s="15" t="s">
        <v>37</v>
      </c>
      <c r="G164" s="15">
        <v>2</v>
      </c>
      <c r="H164" s="15">
        <v>20</v>
      </c>
      <c r="I164" s="15">
        <v>1</v>
      </c>
      <c r="J164" s="15" t="s">
        <v>43</v>
      </c>
      <c r="K164" s="15">
        <v>20052</v>
      </c>
      <c r="L164" s="15">
        <v>0.27</v>
      </c>
      <c r="M164" s="17">
        <v>2</v>
      </c>
      <c r="N164" s="17">
        <f>+K164*M164</f>
        <v>40104</v>
      </c>
      <c r="O164" s="17">
        <f t="shared" si="13"/>
        <v>401.04</v>
      </c>
      <c r="P164" s="17">
        <f t="shared" si="14"/>
        <v>40505.040000000001</v>
      </c>
      <c r="Q164" s="19">
        <v>535</v>
      </c>
      <c r="R164" s="20"/>
    </row>
    <row r="165" spans="1:18" x14ac:dyDescent="0.25">
      <c r="A165" s="18" t="s">
        <v>20</v>
      </c>
      <c r="B165" s="22">
        <v>46125.355555555558</v>
      </c>
      <c r="C165" s="18">
        <v>202616</v>
      </c>
      <c r="D165" s="15">
        <v>25205</v>
      </c>
      <c r="E165" s="18">
        <v>3</v>
      </c>
      <c r="F165" s="18" t="s">
        <v>30</v>
      </c>
      <c r="G165" s="18">
        <v>2</v>
      </c>
      <c r="H165" s="18">
        <v>16</v>
      </c>
      <c r="I165" s="18">
        <v>1</v>
      </c>
      <c r="J165" s="18" t="s">
        <v>43</v>
      </c>
      <c r="K165" s="18">
        <v>10</v>
      </c>
      <c r="L165" s="18">
        <v>0.7</v>
      </c>
      <c r="M165" s="17">
        <v>4000</v>
      </c>
      <c r="N165" s="17">
        <f>+K165*M165</f>
        <v>40000</v>
      </c>
      <c r="O165" s="17">
        <f t="shared" si="13"/>
        <v>400</v>
      </c>
      <c r="P165" s="17">
        <f t="shared" si="14"/>
        <v>40400</v>
      </c>
      <c r="Q165" s="19">
        <v>530</v>
      </c>
      <c r="R165" s="20"/>
    </row>
    <row r="166" spans="1:18" x14ac:dyDescent="0.25">
      <c r="A166" s="15" t="s">
        <v>20</v>
      </c>
      <c r="B166" s="16">
        <v>46125.354166666664</v>
      </c>
      <c r="C166" s="18">
        <v>202616</v>
      </c>
      <c r="D166" s="18">
        <v>25201</v>
      </c>
      <c r="E166" s="15">
        <v>1</v>
      </c>
      <c r="F166" s="15" t="s">
        <v>29</v>
      </c>
      <c r="G166" s="15">
        <v>4</v>
      </c>
      <c r="H166" s="15">
        <v>32</v>
      </c>
      <c r="I166" s="15">
        <v>2</v>
      </c>
      <c r="J166" s="15" t="s">
        <v>27</v>
      </c>
      <c r="K166" s="15">
        <v>32</v>
      </c>
      <c r="L166" s="15">
        <v>1.08</v>
      </c>
      <c r="M166" s="17">
        <v>1800</v>
      </c>
      <c r="N166" s="17">
        <f>+H166*M166</f>
        <v>57600</v>
      </c>
      <c r="O166" s="17">
        <f>+N166*0.01</f>
        <v>576</v>
      </c>
      <c r="P166" s="17">
        <f>+N166+O166</f>
        <v>58176</v>
      </c>
      <c r="Q166" s="19">
        <v>538</v>
      </c>
      <c r="R166" s="20"/>
    </row>
    <row r="167" spans="1:18" x14ac:dyDescent="0.25">
      <c r="A167" s="18" t="s">
        <v>20</v>
      </c>
      <c r="B167" s="22">
        <v>46125.352083333331</v>
      </c>
      <c r="C167" s="18">
        <v>202616</v>
      </c>
      <c r="D167" s="15">
        <v>26210</v>
      </c>
      <c r="E167" s="18">
        <v>2</v>
      </c>
      <c r="F167" s="18" t="s">
        <v>44</v>
      </c>
      <c r="G167" s="18">
        <v>6</v>
      </c>
      <c r="H167" s="18">
        <v>48</v>
      </c>
      <c r="I167" s="18">
        <v>1</v>
      </c>
      <c r="J167" s="18" t="s">
        <v>43</v>
      </c>
      <c r="K167" s="18">
        <v>29426</v>
      </c>
      <c r="L167" s="18">
        <v>0.4</v>
      </c>
      <c r="M167" s="17">
        <v>17</v>
      </c>
      <c r="N167" s="17">
        <f>+K167*M167</f>
        <v>500242</v>
      </c>
      <c r="O167" s="17">
        <f t="shared" si="13"/>
        <v>5002.42</v>
      </c>
      <c r="P167" s="17">
        <f t="shared" si="14"/>
        <v>505244.42</v>
      </c>
      <c r="Q167" s="19">
        <v>533</v>
      </c>
      <c r="R167" s="20"/>
    </row>
    <row r="168" spans="1:18" x14ac:dyDescent="0.25">
      <c r="A168" s="18" t="s">
        <v>20</v>
      </c>
      <c r="B168" s="22">
        <v>46126.398611111108</v>
      </c>
      <c r="C168" s="18">
        <v>202616</v>
      </c>
      <c r="D168" s="15">
        <v>26210</v>
      </c>
      <c r="E168" s="18">
        <v>2</v>
      </c>
      <c r="F168" s="18" t="s">
        <v>37</v>
      </c>
      <c r="G168" s="18">
        <v>2</v>
      </c>
      <c r="H168" s="18">
        <v>24</v>
      </c>
      <c r="I168" s="18">
        <v>1</v>
      </c>
      <c r="J168" s="18" t="s">
        <v>43</v>
      </c>
      <c r="K168" s="18">
        <v>33292</v>
      </c>
      <c r="L168" s="18">
        <v>0.43</v>
      </c>
      <c r="M168" s="17">
        <v>2</v>
      </c>
      <c r="N168" s="17">
        <f>+K168*M168</f>
        <v>66584</v>
      </c>
      <c r="O168" s="17">
        <f t="shared" si="13"/>
        <v>665.84</v>
      </c>
      <c r="P168" s="17">
        <f t="shared" si="14"/>
        <v>67249.84</v>
      </c>
      <c r="Q168" s="19">
        <v>536</v>
      </c>
      <c r="R168" s="20"/>
    </row>
    <row r="169" spans="1:18" x14ac:dyDescent="0.25">
      <c r="A169" s="15" t="s">
        <v>20</v>
      </c>
      <c r="B169" s="16">
        <v>46126.392361111109</v>
      </c>
      <c r="C169" s="18">
        <v>202616</v>
      </c>
      <c r="D169" s="15">
        <v>25205</v>
      </c>
      <c r="E169" s="15">
        <v>3</v>
      </c>
      <c r="F169" s="15" t="s">
        <v>30</v>
      </c>
      <c r="G169" s="15">
        <v>2</v>
      </c>
      <c r="H169" s="15">
        <v>16</v>
      </c>
      <c r="I169" s="15">
        <v>1</v>
      </c>
      <c r="J169" s="18" t="s">
        <v>31</v>
      </c>
      <c r="K169" s="15">
        <v>10</v>
      </c>
      <c r="L169" s="15">
        <v>0.7</v>
      </c>
      <c r="M169" s="17">
        <v>4000</v>
      </c>
      <c r="N169" s="17">
        <f>+K169*M169</f>
        <v>40000</v>
      </c>
      <c r="O169" s="17">
        <f t="shared" si="13"/>
        <v>400</v>
      </c>
      <c r="P169" s="17">
        <f t="shared" si="14"/>
        <v>40400</v>
      </c>
      <c r="Q169" s="19">
        <v>530</v>
      </c>
      <c r="R169" s="20"/>
    </row>
    <row r="170" spans="1:18" x14ac:dyDescent="0.25">
      <c r="A170" s="18" t="s">
        <v>20</v>
      </c>
      <c r="B170" s="22">
        <v>46126.38958333333</v>
      </c>
      <c r="C170" s="18">
        <v>202616</v>
      </c>
      <c r="D170" s="18">
        <v>25201</v>
      </c>
      <c r="E170" s="18">
        <v>2</v>
      </c>
      <c r="F170" s="18" t="s">
        <v>29</v>
      </c>
      <c r="G170" s="18">
        <v>5</v>
      </c>
      <c r="H170" s="18">
        <v>40</v>
      </c>
      <c r="I170" s="18">
        <v>2</v>
      </c>
      <c r="J170" s="18" t="s">
        <v>27</v>
      </c>
      <c r="K170" s="18">
        <v>40</v>
      </c>
      <c r="L170" s="18">
        <v>1.1599999999999999</v>
      </c>
      <c r="M170" s="17">
        <v>1800</v>
      </c>
      <c r="N170" s="17">
        <f>+K170*M170</f>
        <v>72000</v>
      </c>
      <c r="O170" s="17">
        <f>+N170*0.01</f>
        <v>720</v>
      </c>
      <c r="P170" s="17">
        <f>+N170+O170</f>
        <v>72720</v>
      </c>
      <c r="Q170" s="19">
        <v>538</v>
      </c>
      <c r="R170" s="20"/>
    </row>
    <row r="171" spans="1:18" x14ac:dyDescent="0.25">
      <c r="A171" s="15" t="s">
        <v>20</v>
      </c>
      <c r="B171" s="16">
        <v>46126.387499999997</v>
      </c>
      <c r="C171" s="18">
        <v>202616</v>
      </c>
      <c r="D171" s="15">
        <v>26210</v>
      </c>
      <c r="E171" s="15">
        <v>2</v>
      </c>
      <c r="F171" s="15" t="s">
        <v>44</v>
      </c>
      <c r="G171" s="15">
        <v>8</v>
      </c>
      <c r="H171" s="15">
        <v>64</v>
      </c>
      <c r="I171" s="15">
        <v>1</v>
      </c>
      <c r="J171" s="15" t="s">
        <v>43</v>
      </c>
      <c r="K171" s="15">
        <v>30966</v>
      </c>
      <c r="L171" s="15">
        <v>0.43</v>
      </c>
      <c r="M171" s="17">
        <v>17</v>
      </c>
      <c r="N171" s="17">
        <f>+K171*M171</f>
        <v>526422</v>
      </c>
      <c r="O171" s="17">
        <f t="shared" si="13"/>
        <v>5264.22</v>
      </c>
      <c r="P171" s="17">
        <f t="shared" si="14"/>
        <v>531686.22</v>
      </c>
      <c r="Q171" s="19">
        <v>533</v>
      </c>
      <c r="R171" s="20"/>
    </row>
    <row r="172" spans="1:18" x14ac:dyDescent="0.25">
      <c r="A172" s="18" t="s">
        <v>20</v>
      </c>
      <c r="B172" s="22">
        <v>46127.443749999999</v>
      </c>
      <c r="C172" s="18">
        <v>202616</v>
      </c>
      <c r="D172" s="15">
        <v>25205</v>
      </c>
      <c r="E172" s="18">
        <v>3</v>
      </c>
      <c r="F172" s="18" t="s">
        <v>30</v>
      </c>
      <c r="G172" s="18">
        <v>2</v>
      </c>
      <c r="H172" s="18">
        <v>16</v>
      </c>
      <c r="I172" s="18">
        <v>1</v>
      </c>
      <c r="J172" s="18" t="s">
        <v>31</v>
      </c>
      <c r="K172" s="18">
        <v>10</v>
      </c>
      <c r="L172" s="18">
        <v>0.7</v>
      </c>
      <c r="M172" s="17">
        <v>4000</v>
      </c>
      <c r="N172" s="17">
        <f t="shared" ref="N172:N186" si="16">+K172*M172</f>
        <v>40000</v>
      </c>
      <c r="O172" s="17">
        <f t="shared" si="13"/>
        <v>400</v>
      </c>
      <c r="P172" s="17">
        <f t="shared" si="14"/>
        <v>40400</v>
      </c>
      <c r="Q172" s="19">
        <v>530</v>
      </c>
      <c r="R172" s="20"/>
    </row>
    <row r="173" spans="1:18" x14ac:dyDescent="0.25">
      <c r="A173" s="15" t="s">
        <v>20</v>
      </c>
      <c r="B173" s="16">
        <v>46127.441666666666</v>
      </c>
      <c r="C173" s="18">
        <v>202616</v>
      </c>
      <c r="D173" s="18">
        <v>25201</v>
      </c>
      <c r="E173" s="15">
        <v>2</v>
      </c>
      <c r="F173" s="15" t="s">
        <v>29</v>
      </c>
      <c r="G173" s="15">
        <v>5</v>
      </c>
      <c r="H173" s="15">
        <v>40</v>
      </c>
      <c r="I173" s="15">
        <v>2</v>
      </c>
      <c r="J173" s="15" t="s">
        <v>27</v>
      </c>
      <c r="K173" s="15">
        <v>40</v>
      </c>
      <c r="L173" s="15">
        <v>1.1000000000000001</v>
      </c>
      <c r="M173" s="17">
        <v>1800</v>
      </c>
      <c r="N173" s="17">
        <f t="shared" si="16"/>
        <v>72000</v>
      </c>
      <c r="O173" s="17">
        <f>+N173*0.01</f>
        <v>720</v>
      </c>
      <c r="P173" s="17">
        <f>+N173+O173</f>
        <v>72720</v>
      </c>
      <c r="Q173" s="19">
        <v>538</v>
      </c>
      <c r="R173" s="20"/>
    </row>
    <row r="174" spans="1:18" x14ac:dyDescent="0.25">
      <c r="A174" s="18" t="s">
        <v>20</v>
      </c>
      <c r="B174" s="22">
        <v>46127.44027777778</v>
      </c>
      <c r="C174" s="18">
        <v>202616</v>
      </c>
      <c r="D174" s="15">
        <v>26210</v>
      </c>
      <c r="E174" s="18">
        <v>2</v>
      </c>
      <c r="F174" s="18" t="s">
        <v>44</v>
      </c>
      <c r="G174" s="18">
        <v>5</v>
      </c>
      <c r="H174" s="18">
        <v>20</v>
      </c>
      <c r="I174" s="18">
        <v>1</v>
      </c>
      <c r="J174" s="18" t="s">
        <v>43</v>
      </c>
      <c r="K174" s="18">
        <v>22777</v>
      </c>
      <c r="L174" s="18">
        <v>0.31</v>
      </c>
      <c r="M174" s="17">
        <v>17</v>
      </c>
      <c r="N174" s="17">
        <f t="shared" si="16"/>
        <v>387209</v>
      </c>
      <c r="O174" s="17">
        <f t="shared" si="13"/>
        <v>3872.09</v>
      </c>
      <c r="P174" s="17">
        <f t="shared" si="14"/>
        <v>391081.09</v>
      </c>
      <c r="Q174" s="19">
        <v>533</v>
      </c>
      <c r="R174" s="20"/>
    </row>
    <row r="175" spans="1:18" x14ac:dyDescent="0.25">
      <c r="A175" s="18" t="s">
        <v>20</v>
      </c>
      <c r="B175" s="22">
        <v>46128.378472222219</v>
      </c>
      <c r="C175" s="18">
        <v>202616</v>
      </c>
      <c r="D175" s="15">
        <v>25205</v>
      </c>
      <c r="E175" s="18">
        <v>3</v>
      </c>
      <c r="F175" s="18" t="s">
        <v>30</v>
      </c>
      <c r="G175" s="18">
        <v>2</v>
      </c>
      <c r="H175" s="18">
        <v>16</v>
      </c>
      <c r="I175" s="18">
        <v>1</v>
      </c>
      <c r="J175" s="18" t="s">
        <v>31</v>
      </c>
      <c r="K175" s="18">
        <v>10</v>
      </c>
      <c r="L175" s="18">
        <v>0.7</v>
      </c>
      <c r="M175" s="17">
        <v>4000</v>
      </c>
      <c r="N175" s="17">
        <f t="shared" si="16"/>
        <v>40000</v>
      </c>
      <c r="O175" s="17">
        <f t="shared" si="13"/>
        <v>400</v>
      </c>
      <c r="P175" s="17">
        <f t="shared" si="14"/>
        <v>40400</v>
      </c>
      <c r="Q175" s="19">
        <v>530</v>
      </c>
      <c r="R175" s="20"/>
    </row>
    <row r="176" spans="1:18" x14ac:dyDescent="0.25">
      <c r="A176" s="15" t="s">
        <v>20</v>
      </c>
      <c r="B176" s="16">
        <v>46128.377083333333</v>
      </c>
      <c r="C176" s="18">
        <v>202616</v>
      </c>
      <c r="D176" s="18">
        <v>25201</v>
      </c>
      <c r="E176" s="15">
        <v>2</v>
      </c>
      <c r="F176" s="15" t="s">
        <v>29</v>
      </c>
      <c r="G176" s="15">
        <v>6</v>
      </c>
      <c r="H176" s="15">
        <v>48</v>
      </c>
      <c r="I176" s="15">
        <v>2</v>
      </c>
      <c r="J176" s="15" t="s">
        <v>27</v>
      </c>
      <c r="K176" s="15">
        <v>48</v>
      </c>
      <c r="L176" s="15">
        <v>1.01</v>
      </c>
      <c r="M176" s="17">
        <v>1800</v>
      </c>
      <c r="N176" s="17">
        <f t="shared" si="16"/>
        <v>86400</v>
      </c>
      <c r="O176" s="17">
        <f>+N176*0.01</f>
        <v>864</v>
      </c>
      <c r="P176" s="17">
        <f>+N176+O176</f>
        <v>87264</v>
      </c>
      <c r="Q176" s="19">
        <v>538</v>
      </c>
      <c r="R176" s="20"/>
    </row>
    <row r="177" spans="1:18" x14ac:dyDescent="0.25">
      <c r="A177" s="18" t="s">
        <v>20</v>
      </c>
      <c r="B177" s="22">
        <v>46128.375</v>
      </c>
      <c r="C177" s="18">
        <v>202616</v>
      </c>
      <c r="D177" s="15">
        <v>26210</v>
      </c>
      <c r="E177" s="18">
        <v>3</v>
      </c>
      <c r="F177" s="18" t="s">
        <v>44</v>
      </c>
      <c r="G177" s="18">
        <v>6</v>
      </c>
      <c r="H177" s="18">
        <v>36</v>
      </c>
      <c r="I177" s="18">
        <v>1</v>
      </c>
      <c r="J177" s="18" t="s">
        <v>43</v>
      </c>
      <c r="K177" s="18">
        <v>28867</v>
      </c>
      <c r="L177" s="18">
        <v>0.39</v>
      </c>
      <c r="M177" s="17">
        <v>17</v>
      </c>
      <c r="N177" s="17">
        <f t="shared" si="16"/>
        <v>490739</v>
      </c>
      <c r="O177" s="17">
        <f t="shared" si="13"/>
        <v>4907.3900000000003</v>
      </c>
      <c r="P177" s="17">
        <f t="shared" si="14"/>
        <v>495646.39</v>
      </c>
      <c r="Q177" s="19">
        <v>533</v>
      </c>
      <c r="R177" s="20"/>
    </row>
    <row r="178" spans="1:18" x14ac:dyDescent="0.25">
      <c r="A178" s="18" t="s">
        <v>20</v>
      </c>
      <c r="B178" s="22">
        <v>46129.384027777778</v>
      </c>
      <c r="C178" s="18">
        <v>202616</v>
      </c>
      <c r="D178" s="15">
        <v>26210</v>
      </c>
      <c r="E178" s="18">
        <v>3</v>
      </c>
      <c r="F178" s="18" t="s">
        <v>37</v>
      </c>
      <c r="G178" s="18">
        <v>2</v>
      </c>
      <c r="H178" s="18">
        <v>22</v>
      </c>
      <c r="I178" s="18">
        <v>1</v>
      </c>
      <c r="J178" s="18" t="s">
        <v>43</v>
      </c>
      <c r="K178" s="18">
        <v>11836</v>
      </c>
      <c r="L178" s="18">
        <v>0.16</v>
      </c>
      <c r="M178" s="17">
        <v>2</v>
      </c>
      <c r="N178" s="17">
        <f t="shared" si="16"/>
        <v>23672</v>
      </c>
      <c r="O178" s="17">
        <f t="shared" si="13"/>
        <v>236.72</v>
      </c>
      <c r="P178" s="17">
        <f t="shared" si="14"/>
        <v>23908.720000000001</v>
      </c>
      <c r="Q178" s="19">
        <v>536</v>
      </c>
      <c r="R178" s="20"/>
    </row>
    <row r="179" spans="1:18" x14ac:dyDescent="0.25">
      <c r="A179" s="15" t="s">
        <v>20</v>
      </c>
      <c r="B179" s="16">
        <v>46129.382638888892</v>
      </c>
      <c r="C179" s="18">
        <v>202616</v>
      </c>
      <c r="D179" s="15">
        <v>25205</v>
      </c>
      <c r="E179" s="15">
        <v>3</v>
      </c>
      <c r="F179" s="15" t="s">
        <v>30</v>
      </c>
      <c r="G179" s="15">
        <v>2</v>
      </c>
      <c r="H179" s="15">
        <v>16</v>
      </c>
      <c r="I179" s="15">
        <v>1</v>
      </c>
      <c r="J179" s="18" t="s">
        <v>31</v>
      </c>
      <c r="K179" s="15">
        <v>10</v>
      </c>
      <c r="L179" s="15">
        <v>0.72</v>
      </c>
      <c r="M179" s="17">
        <v>4000</v>
      </c>
      <c r="N179" s="17">
        <f t="shared" si="16"/>
        <v>40000</v>
      </c>
      <c r="O179" s="17">
        <f t="shared" si="13"/>
        <v>400</v>
      </c>
      <c r="P179" s="17">
        <f t="shared" si="14"/>
        <v>40400</v>
      </c>
      <c r="Q179" s="15">
        <v>530</v>
      </c>
      <c r="R179" s="20"/>
    </row>
    <row r="180" spans="1:18" x14ac:dyDescent="0.25">
      <c r="A180" s="18" t="s">
        <v>20</v>
      </c>
      <c r="B180" s="22">
        <v>46129.380555555559</v>
      </c>
      <c r="C180" s="18">
        <v>202616</v>
      </c>
      <c r="D180" s="18">
        <v>25201</v>
      </c>
      <c r="E180" s="18">
        <v>2</v>
      </c>
      <c r="F180" s="18" t="s">
        <v>29</v>
      </c>
      <c r="G180" s="18">
        <v>7</v>
      </c>
      <c r="H180" s="18">
        <v>56</v>
      </c>
      <c r="I180" s="18">
        <v>2</v>
      </c>
      <c r="J180" s="18" t="s">
        <v>27</v>
      </c>
      <c r="K180" s="18">
        <v>56</v>
      </c>
      <c r="L180" s="18">
        <v>1.17</v>
      </c>
      <c r="M180" s="17">
        <v>1800</v>
      </c>
      <c r="N180" s="17">
        <f t="shared" si="16"/>
        <v>100800</v>
      </c>
      <c r="O180" s="17">
        <f>+N180*0.01</f>
        <v>1008</v>
      </c>
      <c r="P180" s="17">
        <f>+N180+O180</f>
        <v>101808</v>
      </c>
      <c r="Q180" s="15">
        <v>538</v>
      </c>
      <c r="R180" s="20"/>
    </row>
    <row r="181" spans="1:18" x14ac:dyDescent="0.25">
      <c r="A181" s="15" t="s">
        <v>20</v>
      </c>
      <c r="B181" s="16">
        <v>46129.378472222219</v>
      </c>
      <c r="C181" s="18">
        <v>202616</v>
      </c>
      <c r="D181" s="15">
        <v>26210</v>
      </c>
      <c r="E181" s="15">
        <v>3</v>
      </c>
      <c r="F181" s="15" t="s">
        <v>44</v>
      </c>
      <c r="G181" s="15">
        <v>7</v>
      </c>
      <c r="H181" s="15">
        <v>56</v>
      </c>
      <c r="I181" s="15">
        <v>1</v>
      </c>
      <c r="J181" s="15" t="s">
        <v>43</v>
      </c>
      <c r="K181" s="15">
        <v>33077</v>
      </c>
      <c r="L181" s="15">
        <v>0.45</v>
      </c>
      <c r="M181" s="17">
        <v>17</v>
      </c>
      <c r="N181" s="17">
        <f t="shared" si="16"/>
        <v>562309</v>
      </c>
      <c r="O181" s="17">
        <f t="shared" si="13"/>
        <v>5623.09</v>
      </c>
      <c r="P181" s="17">
        <f t="shared" si="14"/>
        <v>567932.09</v>
      </c>
      <c r="Q181" s="15">
        <v>533</v>
      </c>
      <c r="R181" s="20"/>
    </row>
    <row r="182" spans="1:18" x14ac:dyDescent="0.25">
      <c r="A182" s="18" t="s">
        <v>20</v>
      </c>
      <c r="B182" s="22">
        <v>46130.392361111109</v>
      </c>
      <c r="C182" s="18">
        <v>202616</v>
      </c>
      <c r="D182" s="15">
        <v>26210</v>
      </c>
      <c r="E182" s="18">
        <v>3</v>
      </c>
      <c r="F182" s="18" t="s">
        <v>37</v>
      </c>
      <c r="G182" s="18">
        <v>2</v>
      </c>
      <c r="H182" s="18">
        <v>22</v>
      </c>
      <c r="I182" s="18">
        <v>1</v>
      </c>
      <c r="J182" s="18" t="s">
        <v>43</v>
      </c>
      <c r="K182" s="18">
        <v>15160</v>
      </c>
      <c r="L182" s="18">
        <v>0.21</v>
      </c>
      <c r="M182" s="17">
        <v>2</v>
      </c>
      <c r="N182" s="17">
        <f t="shared" si="16"/>
        <v>30320</v>
      </c>
      <c r="O182" s="17">
        <f t="shared" si="13"/>
        <v>303.2</v>
      </c>
      <c r="P182" s="17">
        <f t="shared" si="14"/>
        <v>30623.200000000001</v>
      </c>
      <c r="Q182" s="15">
        <v>536</v>
      </c>
      <c r="R182" s="20"/>
    </row>
    <row r="183" spans="1:18" x14ac:dyDescent="0.25">
      <c r="A183" s="15" t="s">
        <v>20</v>
      </c>
      <c r="B183" s="16">
        <v>46130.390972222223</v>
      </c>
      <c r="C183" s="18">
        <v>202616</v>
      </c>
      <c r="D183" s="15">
        <v>25206</v>
      </c>
      <c r="E183" s="15">
        <v>1</v>
      </c>
      <c r="F183" s="15" t="s">
        <v>30</v>
      </c>
      <c r="G183" s="15">
        <v>2</v>
      </c>
      <c r="H183" s="15">
        <v>16</v>
      </c>
      <c r="I183" s="15">
        <v>2</v>
      </c>
      <c r="J183" s="18" t="s">
        <v>31</v>
      </c>
      <c r="K183" s="15">
        <v>10</v>
      </c>
      <c r="L183" s="15">
        <v>0.71</v>
      </c>
      <c r="M183" s="17">
        <v>4000</v>
      </c>
      <c r="N183" s="17">
        <f t="shared" si="16"/>
        <v>40000</v>
      </c>
      <c r="O183" s="17">
        <f t="shared" si="13"/>
        <v>400</v>
      </c>
      <c r="P183" s="17">
        <f t="shared" si="14"/>
        <v>40400</v>
      </c>
      <c r="Q183" s="15">
        <v>530</v>
      </c>
      <c r="R183" s="20"/>
    </row>
    <row r="184" spans="1:18" x14ac:dyDescent="0.25">
      <c r="A184" s="18" t="s">
        <v>20</v>
      </c>
      <c r="B184" s="22">
        <v>46130.388194444444</v>
      </c>
      <c r="C184" s="18">
        <v>202616</v>
      </c>
      <c r="D184" s="18">
        <v>25201</v>
      </c>
      <c r="E184" s="18">
        <v>2</v>
      </c>
      <c r="F184" s="18" t="s">
        <v>29</v>
      </c>
      <c r="G184" s="18">
        <v>7</v>
      </c>
      <c r="H184" s="18">
        <v>56</v>
      </c>
      <c r="I184" s="18">
        <v>2</v>
      </c>
      <c r="J184" s="18" t="s">
        <v>27</v>
      </c>
      <c r="K184" s="18">
        <v>56</v>
      </c>
      <c r="L184" s="18">
        <v>1.22</v>
      </c>
      <c r="M184" s="17">
        <v>1800</v>
      </c>
      <c r="N184" s="17">
        <f t="shared" si="16"/>
        <v>100800</v>
      </c>
      <c r="O184" s="17">
        <f>+N184*0.01</f>
        <v>1008</v>
      </c>
      <c r="P184" s="17">
        <f>+N184+O184</f>
        <v>101808</v>
      </c>
      <c r="Q184" s="15">
        <v>538</v>
      </c>
      <c r="R184" s="20"/>
    </row>
    <row r="185" spans="1:18" x14ac:dyDescent="0.25">
      <c r="A185" s="15" t="s">
        <v>20</v>
      </c>
      <c r="B185" s="16">
        <v>46130.386111111111</v>
      </c>
      <c r="C185" s="18">
        <v>202616</v>
      </c>
      <c r="D185" s="15">
        <v>26210</v>
      </c>
      <c r="E185" s="15">
        <v>3</v>
      </c>
      <c r="F185" s="15" t="s">
        <v>44</v>
      </c>
      <c r="G185" s="15">
        <v>7</v>
      </c>
      <c r="H185" s="15">
        <v>56</v>
      </c>
      <c r="I185" s="15">
        <v>1</v>
      </c>
      <c r="J185" s="15" t="s">
        <v>43</v>
      </c>
      <c r="K185" s="15">
        <v>23079</v>
      </c>
      <c r="L185" s="15">
        <v>0.45</v>
      </c>
      <c r="M185" s="17">
        <v>17</v>
      </c>
      <c r="N185" s="17">
        <f t="shared" si="16"/>
        <v>392343</v>
      </c>
      <c r="O185" s="17">
        <f t="shared" ref="O185" si="17">+N185*0.01</f>
        <v>3923.4300000000003</v>
      </c>
      <c r="P185" s="17">
        <f t="shared" ref="P185" si="18">+N185+O185</f>
        <v>396266.43</v>
      </c>
      <c r="Q185" s="15">
        <v>533</v>
      </c>
      <c r="R185" s="20"/>
    </row>
    <row r="186" spans="1:18" x14ac:dyDescent="0.25">
      <c r="A186" s="18" t="s">
        <v>20</v>
      </c>
      <c r="B186" s="22">
        <v>46130.303472222222</v>
      </c>
      <c r="C186" s="18">
        <v>202616</v>
      </c>
      <c r="D186" s="15">
        <v>25205</v>
      </c>
      <c r="E186" s="18">
        <v>3</v>
      </c>
      <c r="F186" s="18" t="s">
        <v>47</v>
      </c>
      <c r="G186" s="18">
        <v>0</v>
      </c>
      <c r="H186" s="18">
        <v>1</v>
      </c>
      <c r="I186" s="18">
        <v>1</v>
      </c>
      <c r="J186" s="18" t="s">
        <v>27</v>
      </c>
      <c r="K186" s="18">
        <v>250.23</v>
      </c>
      <c r="L186" s="18">
        <v>0.05</v>
      </c>
      <c r="M186" s="17">
        <v>1800</v>
      </c>
      <c r="N186" s="17">
        <f t="shared" si="16"/>
        <v>450414</v>
      </c>
      <c r="O186" s="17">
        <f>+N186*0.01</f>
        <v>4504.1400000000003</v>
      </c>
      <c r="P186" s="17">
        <f>+N186+O186</f>
        <v>454918.14</v>
      </c>
      <c r="Q186" s="15">
        <v>538</v>
      </c>
      <c r="R186" s="20"/>
    </row>
    <row r="187" spans="1:18" x14ac:dyDescent="0.25">
      <c r="A187" s="15" t="s">
        <v>20</v>
      </c>
      <c r="B187" s="16">
        <v>46132.529166666667</v>
      </c>
      <c r="C187" s="15">
        <v>202617</v>
      </c>
      <c r="D187" s="15">
        <v>26210</v>
      </c>
      <c r="E187" s="15">
        <v>1</v>
      </c>
      <c r="F187" s="15" t="s">
        <v>45</v>
      </c>
      <c r="G187" s="15">
        <v>2</v>
      </c>
      <c r="H187" s="15">
        <v>16</v>
      </c>
      <c r="I187" s="15">
        <v>1</v>
      </c>
      <c r="J187" s="15" t="s">
        <v>27</v>
      </c>
      <c r="K187" s="15">
        <v>16</v>
      </c>
      <c r="L187" s="15">
        <v>0.3</v>
      </c>
      <c r="M187" s="17">
        <v>1800</v>
      </c>
      <c r="N187" s="17">
        <f>+K187*M187</f>
        <v>28800</v>
      </c>
      <c r="O187" s="17">
        <f t="shared" ref="O187:O250" si="19">+N187*0.01</f>
        <v>288</v>
      </c>
      <c r="P187" s="17">
        <f t="shared" ref="P187:P250" si="20">+N187+O187</f>
        <v>29088</v>
      </c>
      <c r="Q187" s="19">
        <v>543</v>
      </c>
      <c r="R187" s="20"/>
    </row>
    <row r="188" spans="1:18" x14ac:dyDescent="0.25">
      <c r="A188" s="18" t="s">
        <v>20</v>
      </c>
      <c r="B188" s="22">
        <v>46132.527083333334</v>
      </c>
      <c r="C188" s="15">
        <v>202617</v>
      </c>
      <c r="D188" s="15">
        <v>25206</v>
      </c>
      <c r="E188" s="18">
        <v>1</v>
      </c>
      <c r="F188" s="18" t="s">
        <v>29</v>
      </c>
      <c r="G188" s="18">
        <v>4</v>
      </c>
      <c r="H188" s="18">
        <v>32</v>
      </c>
      <c r="I188" s="18">
        <v>2</v>
      </c>
      <c r="J188" s="18" t="s">
        <v>27</v>
      </c>
      <c r="K188" s="18">
        <v>32</v>
      </c>
      <c r="L188" s="18">
        <v>0.43</v>
      </c>
      <c r="M188" s="17">
        <v>1800</v>
      </c>
      <c r="N188" s="17">
        <f>+K188*M188</f>
        <v>57600</v>
      </c>
      <c r="O188" s="17">
        <f t="shared" si="19"/>
        <v>576</v>
      </c>
      <c r="P188" s="17">
        <f t="shared" si="20"/>
        <v>58176</v>
      </c>
      <c r="Q188" s="19">
        <v>542</v>
      </c>
      <c r="R188" s="20"/>
    </row>
    <row r="189" spans="1:18" x14ac:dyDescent="0.25">
      <c r="A189" s="15" t="s">
        <v>20</v>
      </c>
      <c r="B189" s="16">
        <v>46132.525000000001</v>
      </c>
      <c r="C189" s="15">
        <v>202617</v>
      </c>
      <c r="D189" s="15">
        <v>26210</v>
      </c>
      <c r="E189" s="15">
        <v>3</v>
      </c>
      <c r="F189" s="15" t="s">
        <v>44</v>
      </c>
      <c r="G189" s="15">
        <v>7</v>
      </c>
      <c r="H189" s="15">
        <v>56</v>
      </c>
      <c r="I189" s="15">
        <v>1</v>
      </c>
      <c r="J189" s="15" t="s">
        <v>43</v>
      </c>
      <c r="K189" s="15">
        <v>31298</v>
      </c>
      <c r="L189" s="15">
        <v>0.43</v>
      </c>
      <c r="M189" s="17">
        <v>17</v>
      </c>
      <c r="N189" s="17">
        <f>+K189*M189</f>
        <v>532066</v>
      </c>
      <c r="O189" s="17">
        <f t="shared" si="19"/>
        <v>5320.66</v>
      </c>
      <c r="P189" s="17">
        <f t="shared" si="20"/>
        <v>537386.66</v>
      </c>
      <c r="Q189" s="19">
        <v>547</v>
      </c>
      <c r="R189" s="20"/>
    </row>
    <row r="190" spans="1:18" x14ac:dyDescent="0.25">
      <c r="A190" s="18" t="s">
        <v>20</v>
      </c>
      <c r="B190" s="22">
        <v>46133.369444444441</v>
      </c>
      <c r="C190" s="15">
        <v>202617</v>
      </c>
      <c r="D190" s="15">
        <v>25205</v>
      </c>
      <c r="E190" s="18">
        <v>3</v>
      </c>
      <c r="F190" s="18" t="s">
        <v>45</v>
      </c>
      <c r="G190" s="18">
        <v>2</v>
      </c>
      <c r="H190" s="18">
        <v>16</v>
      </c>
      <c r="I190" s="18">
        <v>1</v>
      </c>
      <c r="J190" s="18" t="s">
        <v>27</v>
      </c>
      <c r="K190" s="18">
        <v>16</v>
      </c>
      <c r="L190" s="18">
        <v>0.25</v>
      </c>
      <c r="M190" s="17">
        <v>1800</v>
      </c>
      <c r="N190" s="17">
        <f>+H190*M190</f>
        <v>28800</v>
      </c>
      <c r="O190" s="17">
        <f t="shared" si="19"/>
        <v>288</v>
      </c>
      <c r="P190" s="17">
        <f t="shared" si="20"/>
        <v>29088</v>
      </c>
      <c r="Q190" s="19">
        <v>543</v>
      </c>
      <c r="R190" s="20"/>
    </row>
    <row r="191" spans="1:18" x14ac:dyDescent="0.25">
      <c r="A191" s="15" t="s">
        <v>20</v>
      </c>
      <c r="B191" s="16">
        <v>46133.367361111108</v>
      </c>
      <c r="C191" s="15">
        <v>202617</v>
      </c>
      <c r="D191" s="15">
        <v>25206</v>
      </c>
      <c r="E191" s="15">
        <v>1</v>
      </c>
      <c r="F191" s="15" t="s">
        <v>29</v>
      </c>
      <c r="G191" s="15">
        <v>4</v>
      </c>
      <c r="H191" s="15">
        <v>32</v>
      </c>
      <c r="I191" s="15">
        <v>2</v>
      </c>
      <c r="J191" s="15" t="s">
        <v>27</v>
      </c>
      <c r="K191" s="15">
        <v>32</v>
      </c>
      <c r="L191" s="15">
        <v>0.38</v>
      </c>
      <c r="M191" s="17">
        <v>1800</v>
      </c>
      <c r="N191" s="17">
        <f>+K191*M191</f>
        <v>57600</v>
      </c>
      <c r="O191" s="17">
        <f t="shared" si="19"/>
        <v>576</v>
      </c>
      <c r="P191" s="17">
        <f t="shared" si="20"/>
        <v>58176</v>
      </c>
      <c r="Q191" s="19">
        <v>542</v>
      </c>
      <c r="R191" s="20"/>
    </row>
    <row r="192" spans="1:18" x14ac:dyDescent="0.25">
      <c r="A192" s="18" t="s">
        <v>20</v>
      </c>
      <c r="B192" s="22">
        <v>46133.365972222222</v>
      </c>
      <c r="C192" s="15">
        <v>202617</v>
      </c>
      <c r="D192" s="15">
        <v>26210</v>
      </c>
      <c r="E192" s="18">
        <v>3</v>
      </c>
      <c r="F192" s="18" t="s">
        <v>44</v>
      </c>
      <c r="G192" s="18">
        <v>7</v>
      </c>
      <c r="H192" s="18">
        <v>56</v>
      </c>
      <c r="I192" s="18">
        <v>1</v>
      </c>
      <c r="J192" s="18" t="s">
        <v>43</v>
      </c>
      <c r="K192" s="18">
        <v>31333</v>
      </c>
      <c r="L192" s="18">
        <v>0.43</v>
      </c>
      <c r="M192" s="17">
        <v>17</v>
      </c>
      <c r="N192" s="17">
        <f>+K192*M192</f>
        <v>532661</v>
      </c>
      <c r="O192" s="17">
        <f t="shared" si="19"/>
        <v>5326.61</v>
      </c>
      <c r="P192" s="17">
        <f t="shared" si="20"/>
        <v>537987.61</v>
      </c>
      <c r="Q192" s="19">
        <v>547</v>
      </c>
      <c r="R192" s="20"/>
    </row>
    <row r="193" spans="1:18" x14ac:dyDescent="0.25">
      <c r="A193" s="18" t="s">
        <v>20</v>
      </c>
      <c r="B193" s="22">
        <v>46133.477777777778</v>
      </c>
      <c r="C193" s="15">
        <v>202617</v>
      </c>
      <c r="D193" s="15">
        <v>25206</v>
      </c>
      <c r="E193" s="18">
        <v>2</v>
      </c>
      <c r="F193" s="18" t="s">
        <v>30</v>
      </c>
      <c r="G193" s="18">
        <v>2</v>
      </c>
      <c r="H193" s="18">
        <v>16</v>
      </c>
      <c r="I193" s="18">
        <v>1</v>
      </c>
      <c r="J193" s="18" t="s">
        <v>31</v>
      </c>
      <c r="K193" s="18">
        <v>10</v>
      </c>
      <c r="L193" s="18">
        <v>0.7</v>
      </c>
      <c r="M193" s="17">
        <v>4000</v>
      </c>
      <c r="N193" s="17">
        <f>+K193*M193</f>
        <v>40000</v>
      </c>
      <c r="O193" s="17">
        <f t="shared" si="19"/>
        <v>400</v>
      </c>
      <c r="P193" s="17">
        <f t="shared" si="20"/>
        <v>40400</v>
      </c>
      <c r="Q193" s="19">
        <v>541</v>
      </c>
      <c r="R193" s="20"/>
    </row>
    <row r="194" spans="1:18" x14ac:dyDescent="0.25">
      <c r="A194" s="15" t="s">
        <v>20</v>
      </c>
      <c r="B194" s="16">
        <v>46134.373611111114</v>
      </c>
      <c r="C194" s="15">
        <v>202617</v>
      </c>
      <c r="D194" s="15">
        <v>25206</v>
      </c>
      <c r="E194" s="15">
        <v>1</v>
      </c>
      <c r="F194" s="15" t="s">
        <v>48</v>
      </c>
      <c r="G194" s="15">
        <v>2</v>
      </c>
      <c r="H194" s="15">
        <v>16</v>
      </c>
      <c r="I194" s="15">
        <v>1</v>
      </c>
      <c r="J194" s="15" t="s">
        <v>27</v>
      </c>
      <c r="K194" s="15">
        <v>16</v>
      </c>
      <c r="L194" s="15">
        <v>0.2</v>
      </c>
      <c r="M194" s="17">
        <v>1800</v>
      </c>
      <c r="N194" s="17">
        <f>+K194*M194</f>
        <v>28800</v>
      </c>
      <c r="O194" s="17">
        <f t="shared" si="19"/>
        <v>288</v>
      </c>
      <c r="P194" s="17">
        <f t="shared" si="20"/>
        <v>29088</v>
      </c>
      <c r="Q194" s="19">
        <v>540</v>
      </c>
      <c r="R194" s="20"/>
    </row>
    <row r="195" spans="1:18" x14ac:dyDescent="0.25">
      <c r="A195" s="18" t="s">
        <v>20</v>
      </c>
      <c r="B195" s="22">
        <v>46134.35</v>
      </c>
      <c r="C195" s="15">
        <v>202617</v>
      </c>
      <c r="D195" s="15">
        <v>25206</v>
      </c>
      <c r="E195" s="18">
        <v>2</v>
      </c>
      <c r="F195" s="18" t="s">
        <v>30</v>
      </c>
      <c r="G195" s="18">
        <v>2</v>
      </c>
      <c r="H195" s="18">
        <v>16</v>
      </c>
      <c r="I195" s="18">
        <v>1</v>
      </c>
      <c r="J195" s="18" t="s">
        <v>31</v>
      </c>
      <c r="K195" s="18">
        <v>10</v>
      </c>
      <c r="L195" s="18">
        <v>0.7</v>
      </c>
      <c r="M195" s="17">
        <v>4000</v>
      </c>
      <c r="N195" s="17">
        <f>+K195*M195</f>
        <v>40000</v>
      </c>
      <c r="O195" s="17">
        <f t="shared" si="19"/>
        <v>400</v>
      </c>
      <c r="P195" s="17">
        <f t="shared" si="20"/>
        <v>40400</v>
      </c>
      <c r="Q195" s="19">
        <v>541</v>
      </c>
      <c r="R195" s="20"/>
    </row>
    <row r="196" spans="1:18" x14ac:dyDescent="0.25">
      <c r="A196" s="15" t="s">
        <v>20</v>
      </c>
      <c r="B196" s="16">
        <v>46134.347222222219</v>
      </c>
      <c r="C196" s="15">
        <v>202617</v>
      </c>
      <c r="D196" s="15">
        <v>25205</v>
      </c>
      <c r="E196" s="15">
        <v>1</v>
      </c>
      <c r="F196" s="15" t="s">
        <v>45</v>
      </c>
      <c r="G196" s="15">
        <v>2</v>
      </c>
      <c r="H196" s="15">
        <v>16</v>
      </c>
      <c r="I196" s="15">
        <v>1</v>
      </c>
      <c r="J196" s="15" t="s">
        <v>27</v>
      </c>
      <c r="K196" s="15">
        <v>16</v>
      </c>
      <c r="L196" s="15">
        <v>0.25</v>
      </c>
      <c r="M196" s="17">
        <v>1800</v>
      </c>
      <c r="N196" s="17">
        <f t="shared" ref="N196:N259" si="21">+K196*M196</f>
        <v>28800</v>
      </c>
      <c r="O196" s="17">
        <f t="shared" si="19"/>
        <v>288</v>
      </c>
      <c r="P196" s="17">
        <f t="shared" si="20"/>
        <v>29088</v>
      </c>
      <c r="Q196" s="19">
        <v>543</v>
      </c>
      <c r="R196" s="20"/>
    </row>
    <row r="197" spans="1:18" x14ac:dyDescent="0.25">
      <c r="A197" s="18" t="s">
        <v>20</v>
      </c>
      <c r="B197" s="22">
        <v>46134.345138888886</v>
      </c>
      <c r="C197" s="15">
        <v>202617</v>
      </c>
      <c r="D197" s="15">
        <v>25206</v>
      </c>
      <c r="E197" s="18">
        <v>1</v>
      </c>
      <c r="F197" s="18" t="s">
        <v>29</v>
      </c>
      <c r="G197" s="18">
        <v>4</v>
      </c>
      <c r="H197" s="18">
        <v>32</v>
      </c>
      <c r="I197" s="18">
        <v>2</v>
      </c>
      <c r="J197" s="18" t="s">
        <v>27</v>
      </c>
      <c r="K197" s="18">
        <v>32</v>
      </c>
      <c r="L197" s="18">
        <v>0.72</v>
      </c>
      <c r="M197" s="17">
        <v>1800</v>
      </c>
      <c r="N197" s="17">
        <f t="shared" si="21"/>
        <v>57600</v>
      </c>
      <c r="O197" s="17">
        <f t="shared" si="19"/>
        <v>576</v>
      </c>
      <c r="P197" s="17">
        <f t="shared" si="20"/>
        <v>58176</v>
      </c>
      <c r="Q197" s="19">
        <v>542</v>
      </c>
      <c r="R197" s="20"/>
    </row>
    <row r="198" spans="1:18" x14ac:dyDescent="0.25">
      <c r="A198" s="15" t="s">
        <v>20</v>
      </c>
      <c r="B198" s="16">
        <v>46134.34375</v>
      </c>
      <c r="C198" s="15">
        <v>202617</v>
      </c>
      <c r="D198" s="15">
        <v>26210</v>
      </c>
      <c r="E198" s="15">
        <v>3</v>
      </c>
      <c r="F198" s="15" t="s">
        <v>44</v>
      </c>
      <c r="G198" s="15">
        <v>7</v>
      </c>
      <c r="H198" s="15">
        <v>56</v>
      </c>
      <c r="I198" s="15">
        <v>1</v>
      </c>
      <c r="J198" s="15" t="s">
        <v>43</v>
      </c>
      <c r="K198" s="15">
        <v>30819</v>
      </c>
      <c r="L198" s="15">
        <v>0.42</v>
      </c>
      <c r="M198" s="17">
        <v>17</v>
      </c>
      <c r="N198" s="17">
        <f t="shared" si="21"/>
        <v>523923</v>
      </c>
      <c r="O198" s="17">
        <f t="shared" si="19"/>
        <v>5239.2300000000005</v>
      </c>
      <c r="P198" s="17">
        <f t="shared" si="20"/>
        <v>529162.23</v>
      </c>
      <c r="Q198" s="19">
        <v>547</v>
      </c>
      <c r="R198" s="20"/>
    </row>
    <row r="199" spans="1:18" x14ac:dyDescent="0.25">
      <c r="A199" s="18" t="s">
        <v>20</v>
      </c>
      <c r="B199" s="22">
        <v>46135.376388888886</v>
      </c>
      <c r="C199" s="15">
        <v>202617</v>
      </c>
      <c r="D199" s="15">
        <v>26210</v>
      </c>
      <c r="E199" s="18">
        <v>3</v>
      </c>
      <c r="F199" s="18" t="s">
        <v>22</v>
      </c>
      <c r="G199" s="18">
        <v>1</v>
      </c>
      <c r="H199" s="18">
        <v>10</v>
      </c>
      <c r="I199" s="18">
        <v>1</v>
      </c>
      <c r="J199" s="18" t="s">
        <v>43</v>
      </c>
      <c r="K199" s="18">
        <v>2</v>
      </c>
      <c r="L199" s="18">
        <v>0.01</v>
      </c>
      <c r="M199" s="17">
        <v>70000</v>
      </c>
      <c r="N199" s="17">
        <f t="shared" si="21"/>
        <v>140000</v>
      </c>
      <c r="O199" s="17">
        <f t="shared" si="19"/>
        <v>1400</v>
      </c>
      <c r="P199" s="17">
        <f t="shared" si="20"/>
        <v>141400</v>
      </c>
      <c r="Q199" s="19">
        <v>545</v>
      </c>
      <c r="R199" s="20"/>
    </row>
    <row r="200" spans="1:18" x14ac:dyDescent="0.25">
      <c r="A200" s="15" t="s">
        <v>20</v>
      </c>
      <c r="B200" s="16">
        <v>46135.375</v>
      </c>
      <c r="C200" s="15">
        <v>202617</v>
      </c>
      <c r="D200" s="15">
        <v>25206</v>
      </c>
      <c r="E200" s="15">
        <v>2</v>
      </c>
      <c r="F200" s="15" t="s">
        <v>30</v>
      </c>
      <c r="G200" s="15">
        <v>2</v>
      </c>
      <c r="H200" s="15">
        <v>16</v>
      </c>
      <c r="I200" s="15">
        <v>1</v>
      </c>
      <c r="J200" s="18" t="s">
        <v>31</v>
      </c>
      <c r="K200" s="15">
        <v>10</v>
      </c>
      <c r="L200" s="15">
        <v>0.72</v>
      </c>
      <c r="M200" s="17">
        <v>4000</v>
      </c>
      <c r="N200" s="17">
        <f t="shared" si="21"/>
        <v>40000</v>
      </c>
      <c r="O200" s="17">
        <f t="shared" si="19"/>
        <v>400</v>
      </c>
      <c r="P200" s="17">
        <f t="shared" si="20"/>
        <v>40400</v>
      </c>
      <c r="Q200" s="19">
        <v>541</v>
      </c>
      <c r="R200" s="20"/>
    </row>
    <row r="201" spans="1:18" x14ac:dyDescent="0.25">
      <c r="A201" s="18" t="s">
        <v>20</v>
      </c>
      <c r="B201" s="22">
        <v>46135.372916666667</v>
      </c>
      <c r="C201" s="15">
        <v>202617</v>
      </c>
      <c r="D201" s="15">
        <v>25206</v>
      </c>
      <c r="E201" s="18">
        <v>1</v>
      </c>
      <c r="F201" s="18" t="s">
        <v>29</v>
      </c>
      <c r="G201" s="18">
        <v>4</v>
      </c>
      <c r="H201" s="18">
        <v>32</v>
      </c>
      <c r="I201" s="18">
        <v>2</v>
      </c>
      <c r="J201" s="18" t="s">
        <v>27</v>
      </c>
      <c r="K201" s="18">
        <v>32</v>
      </c>
      <c r="L201" s="18">
        <v>0.52</v>
      </c>
      <c r="M201" s="17">
        <v>1800</v>
      </c>
      <c r="N201" s="17">
        <f t="shared" si="21"/>
        <v>57600</v>
      </c>
      <c r="O201" s="17">
        <f t="shared" si="19"/>
        <v>576</v>
      </c>
      <c r="P201" s="17">
        <f t="shared" si="20"/>
        <v>58176</v>
      </c>
      <c r="Q201" s="19">
        <v>542</v>
      </c>
      <c r="R201" s="20"/>
    </row>
    <row r="202" spans="1:18" x14ac:dyDescent="0.25">
      <c r="A202" s="15" t="s">
        <v>20</v>
      </c>
      <c r="B202" s="16">
        <v>46135.370138888888</v>
      </c>
      <c r="C202" s="15">
        <v>202617</v>
      </c>
      <c r="D202" s="15">
        <v>26210</v>
      </c>
      <c r="E202" s="15">
        <v>3</v>
      </c>
      <c r="F202" s="15" t="s">
        <v>44</v>
      </c>
      <c r="G202" s="15">
        <v>6</v>
      </c>
      <c r="H202" s="15">
        <v>48</v>
      </c>
      <c r="I202" s="15">
        <v>1</v>
      </c>
      <c r="J202" s="15" t="s">
        <v>43</v>
      </c>
      <c r="K202" s="15">
        <v>26426</v>
      </c>
      <c r="L202" s="15">
        <v>0.36</v>
      </c>
      <c r="M202" s="17">
        <v>17</v>
      </c>
      <c r="N202" s="17">
        <f t="shared" si="21"/>
        <v>449242</v>
      </c>
      <c r="O202" s="17">
        <f t="shared" si="19"/>
        <v>4492.42</v>
      </c>
      <c r="P202" s="17">
        <f t="shared" si="20"/>
        <v>453734.42</v>
      </c>
      <c r="Q202" s="19">
        <v>547</v>
      </c>
      <c r="R202" s="20"/>
    </row>
    <row r="203" spans="1:18" x14ac:dyDescent="0.25">
      <c r="A203" s="18" t="s">
        <v>20</v>
      </c>
      <c r="B203" s="22">
        <v>46135.304861111108</v>
      </c>
      <c r="C203" s="15">
        <v>202617</v>
      </c>
      <c r="D203" s="15">
        <v>25206</v>
      </c>
      <c r="E203" s="18">
        <v>1</v>
      </c>
      <c r="F203" s="18" t="s">
        <v>49</v>
      </c>
      <c r="G203" s="18">
        <v>2</v>
      </c>
      <c r="H203" s="18">
        <v>16</v>
      </c>
      <c r="I203" s="18">
        <v>1</v>
      </c>
      <c r="J203" s="18" t="s">
        <v>27</v>
      </c>
      <c r="K203" s="18">
        <v>16</v>
      </c>
      <c r="L203" s="18">
        <v>0.05</v>
      </c>
      <c r="M203" s="17">
        <v>1800</v>
      </c>
      <c r="N203" s="17">
        <f t="shared" si="21"/>
        <v>28800</v>
      </c>
      <c r="O203" s="17">
        <f t="shared" si="19"/>
        <v>288</v>
      </c>
      <c r="P203" s="17">
        <f t="shared" si="20"/>
        <v>29088</v>
      </c>
      <c r="Q203" s="15">
        <v>551</v>
      </c>
      <c r="R203" s="20"/>
    </row>
    <row r="204" spans="1:18" x14ac:dyDescent="0.25">
      <c r="A204" s="15" t="s">
        <v>20</v>
      </c>
      <c r="B204" s="16">
        <v>46135.302083333336</v>
      </c>
      <c r="C204" s="15">
        <v>202617</v>
      </c>
      <c r="D204" s="15">
        <v>25206</v>
      </c>
      <c r="E204" s="15">
        <v>1</v>
      </c>
      <c r="F204" s="15" t="s">
        <v>48</v>
      </c>
      <c r="G204" s="15">
        <v>2</v>
      </c>
      <c r="H204" s="15">
        <v>16</v>
      </c>
      <c r="I204" s="15">
        <v>1</v>
      </c>
      <c r="J204" s="15" t="s">
        <v>27</v>
      </c>
      <c r="K204" s="15">
        <v>16</v>
      </c>
      <c r="L204" s="15">
        <v>0.18</v>
      </c>
      <c r="M204" s="17">
        <v>1800</v>
      </c>
      <c r="N204" s="17">
        <f t="shared" si="21"/>
        <v>28800</v>
      </c>
      <c r="O204" s="17">
        <f t="shared" si="19"/>
        <v>288</v>
      </c>
      <c r="P204" s="17">
        <f t="shared" si="20"/>
        <v>29088</v>
      </c>
      <c r="Q204" s="15">
        <v>540</v>
      </c>
      <c r="R204" s="20"/>
    </row>
    <row r="205" spans="1:18" x14ac:dyDescent="0.25">
      <c r="A205" s="18" t="s">
        <v>20</v>
      </c>
      <c r="B205" s="22">
        <v>46136.498611111114</v>
      </c>
      <c r="C205" s="15">
        <v>202617</v>
      </c>
      <c r="D205" s="15">
        <v>26210</v>
      </c>
      <c r="E205" s="18">
        <v>3</v>
      </c>
      <c r="F205" s="18" t="s">
        <v>22</v>
      </c>
      <c r="G205" s="18">
        <v>1</v>
      </c>
      <c r="H205" s="18">
        <v>8</v>
      </c>
      <c r="I205" s="18">
        <v>1</v>
      </c>
      <c r="J205" s="18" t="s">
        <v>43</v>
      </c>
      <c r="K205" s="18">
        <v>1</v>
      </c>
      <c r="L205" s="18">
        <v>0.01</v>
      </c>
      <c r="M205" s="17">
        <v>70000</v>
      </c>
      <c r="N205" s="17">
        <f t="shared" si="21"/>
        <v>70000</v>
      </c>
      <c r="O205" s="17">
        <f t="shared" si="19"/>
        <v>700</v>
      </c>
      <c r="P205" s="17">
        <f t="shared" si="20"/>
        <v>70700</v>
      </c>
      <c r="Q205" s="15">
        <v>545</v>
      </c>
      <c r="R205" s="20"/>
    </row>
    <row r="206" spans="1:18" x14ac:dyDescent="0.25">
      <c r="A206" s="15" t="s">
        <v>20</v>
      </c>
      <c r="B206" s="16">
        <v>46136.49722222222</v>
      </c>
      <c r="C206" s="15">
        <v>202617</v>
      </c>
      <c r="D206" s="15">
        <v>25206</v>
      </c>
      <c r="E206" s="15">
        <v>2</v>
      </c>
      <c r="F206" s="15" t="s">
        <v>30</v>
      </c>
      <c r="G206" s="15">
        <v>2</v>
      </c>
      <c r="H206" s="15">
        <v>16</v>
      </c>
      <c r="I206" s="15">
        <v>1</v>
      </c>
      <c r="J206" s="18" t="s">
        <v>31</v>
      </c>
      <c r="K206" s="15">
        <v>10</v>
      </c>
      <c r="L206" s="15">
        <v>0.71</v>
      </c>
      <c r="M206" s="17">
        <v>4000</v>
      </c>
      <c r="N206" s="17">
        <f t="shared" si="21"/>
        <v>40000</v>
      </c>
      <c r="O206" s="17">
        <f t="shared" si="19"/>
        <v>400</v>
      </c>
      <c r="P206" s="17">
        <f t="shared" si="20"/>
        <v>40400</v>
      </c>
      <c r="Q206" s="15">
        <v>541</v>
      </c>
      <c r="R206" s="20"/>
    </row>
    <row r="207" spans="1:18" x14ac:dyDescent="0.25">
      <c r="A207" s="18" t="s">
        <v>20</v>
      </c>
      <c r="B207" s="22">
        <v>46136.495138888888</v>
      </c>
      <c r="C207" s="15">
        <v>202617</v>
      </c>
      <c r="D207" s="15">
        <v>25206</v>
      </c>
      <c r="E207" s="18">
        <v>1</v>
      </c>
      <c r="F207" s="18" t="s">
        <v>29</v>
      </c>
      <c r="G207" s="18">
        <v>4</v>
      </c>
      <c r="H207" s="18">
        <v>32</v>
      </c>
      <c r="I207" s="18">
        <v>2</v>
      </c>
      <c r="J207" s="18" t="s">
        <v>27</v>
      </c>
      <c r="K207" s="18">
        <v>32</v>
      </c>
      <c r="L207" s="18">
        <v>0.35</v>
      </c>
      <c r="M207" s="17">
        <v>1800</v>
      </c>
      <c r="N207" s="17">
        <f t="shared" si="21"/>
        <v>57600</v>
      </c>
      <c r="O207" s="17">
        <f t="shared" si="19"/>
        <v>576</v>
      </c>
      <c r="P207" s="17">
        <f t="shared" si="20"/>
        <v>58176</v>
      </c>
      <c r="Q207" s="15">
        <v>542</v>
      </c>
      <c r="R207" s="20"/>
    </row>
    <row r="208" spans="1:18" x14ac:dyDescent="0.25">
      <c r="A208" s="15" t="s">
        <v>20</v>
      </c>
      <c r="B208" s="16">
        <v>46136.409722222219</v>
      </c>
      <c r="C208" s="15">
        <v>202617</v>
      </c>
      <c r="D208" s="15">
        <v>26210</v>
      </c>
      <c r="E208" s="15">
        <v>3</v>
      </c>
      <c r="F208" s="15" t="s">
        <v>44</v>
      </c>
      <c r="G208" s="15">
        <v>6</v>
      </c>
      <c r="H208" s="15">
        <v>48</v>
      </c>
      <c r="I208" s="15">
        <v>1</v>
      </c>
      <c r="J208" s="15" t="s">
        <v>43</v>
      </c>
      <c r="K208" s="15">
        <v>25700</v>
      </c>
      <c r="L208" s="15">
        <v>0.35</v>
      </c>
      <c r="M208" s="17">
        <v>17</v>
      </c>
      <c r="N208" s="17">
        <f t="shared" si="21"/>
        <v>436900</v>
      </c>
      <c r="O208" s="17">
        <f t="shared" si="19"/>
        <v>4369</v>
      </c>
      <c r="P208" s="17">
        <f t="shared" si="20"/>
        <v>441269</v>
      </c>
      <c r="Q208" s="15">
        <v>547</v>
      </c>
      <c r="R208" s="20"/>
    </row>
    <row r="209" spans="1:18" x14ac:dyDescent="0.25">
      <c r="A209" s="18" t="s">
        <v>20</v>
      </c>
      <c r="B209" s="22">
        <v>46136.342361111114</v>
      </c>
      <c r="C209" s="15">
        <v>202617</v>
      </c>
      <c r="D209" s="15">
        <v>25206</v>
      </c>
      <c r="E209" s="18">
        <v>1</v>
      </c>
      <c r="F209" s="18" t="s">
        <v>49</v>
      </c>
      <c r="G209" s="18">
        <v>2</v>
      </c>
      <c r="H209" s="18">
        <v>16</v>
      </c>
      <c r="I209" s="18">
        <v>1</v>
      </c>
      <c r="J209" s="18" t="s">
        <v>27</v>
      </c>
      <c r="K209" s="18">
        <v>16</v>
      </c>
      <c r="L209" s="18">
        <v>0.05</v>
      </c>
      <c r="M209" s="17">
        <v>1800</v>
      </c>
      <c r="N209" s="17">
        <f t="shared" si="21"/>
        <v>28800</v>
      </c>
      <c r="O209" s="17">
        <f t="shared" si="19"/>
        <v>288</v>
      </c>
      <c r="P209" s="17">
        <f t="shared" si="20"/>
        <v>29088</v>
      </c>
      <c r="Q209" s="15">
        <v>551</v>
      </c>
      <c r="R209" s="20"/>
    </row>
    <row r="210" spans="1:18" x14ac:dyDescent="0.25">
      <c r="A210" s="18" t="s">
        <v>20</v>
      </c>
      <c r="B210" s="22">
        <v>46137.429861111108</v>
      </c>
      <c r="C210" s="15">
        <v>202617</v>
      </c>
      <c r="D210" s="15">
        <v>26210</v>
      </c>
      <c r="E210" s="18">
        <v>3</v>
      </c>
      <c r="F210" s="18" t="s">
        <v>37</v>
      </c>
      <c r="G210" s="18">
        <v>2</v>
      </c>
      <c r="H210" s="18">
        <v>22</v>
      </c>
      <c r="I210" s="18">
        <v>1</v>
      </c>
      <c r="J210" s="18" t="s">
        <v>43</v>
      </c>
      <c r="K210" s="18">
        <v>23204</v>
      </c>
      <c r="L210" s="18">
        <v>0.32</v>
      </c>
      <c r="M210" s="17">
        <v>2</v>
      </c>
      <c r="N210" s="17">
        <f t="shared" si="21"/>
        <v>46408</v>
      </c>
      <c r="O210" s="17">
        <f t="shared" si="19"/>
        <v>464.08</v>
      </c>
      <c r="P210" s="17">
        <f t="shared" si="20"/>
        <v>46872.08</v>
      </c>
      <c r="Q210" s="15">
        <v>544</v>
      </c>
      <c r="R210" s="20"/>
    </row>
    <row r="211" spans="1:18" x14ac:dyDescent="0.25">
      <c r="A211" s="15" t="s">
        <v>20</v>
      </c>
      <c r="B211" s="16">
        <v>46137.427777777775</v>
      </c>
      <c r="C211" s="15">
        <v>202617</v>
      </c>
      <c r="D211" s="15">
        <v>26210</v>
      </c>
      <c r="E211" s="15">
        <v>3</v>
      </c>
      <c r="F211" s="15" t="s">
        <v>37</v>
      </c>
      <c r="G211" s="15">
        <v>2</v>
      </c>
      <c r="H211" s="15">
        <v>22</v>
      </c>
      <c r="I211" s="15">
        <v>1</v>
      </c>
      <c r="J211" s="15" t="s">
        <v>43</v>
      </c>
      <c r="K211" s="15">
        <v>10512</v>
      </c>
      <c r="L211" s="15">
        <v>0.14000000000000001</v>
      </c>
      <c r="M211" s="17">
        <v>2</v>
      </c>
      <c r="N211" s="17">
        <f t="shared" si="21"/>
        <v>21024</v>
      </c>
      <c r="O211" s="17">
        <f t="shared" si="19"/>
        <v>210.24</v>
      </c>
      <c r="P211" s="17">
        <f t="shared" si="20"/>
        <v>21234.240000000002</v>
      </c>
      <c r="Q211" s="15">
        <v>544</v>
      </c>
      <c r="R211" s="20"/>
    </row>
    <row r="212" spans="1:18" x14ac:dyDescent="0.25">
      <c r="A212" s="18" t="s">
        <v>20</v>
      </c>
      <c r="B212" s="22">
        <v>46137.383333333331</v>
      </c>
      <c r="C212" s="15">
        <v>202617</v>
      </c>
      <c r="D212" s="15">
        <v>25206</v>
      </c>
      <c r="E212" s="18">
        <v>1</v>
      </c>
      <c r="F212" s="18" t="s">
        <v>49</v>
      </c>
      <c r="G212" s="18">
        <v>4</v>
      </c>
      <c r="H212" s="18">
        <v>32</v>
      </c>
      <c r="I212" s="18">
        <v>1</v>
      </c>
      <c r="J212" s="18" t="s">
        <v>27</v>
      </c>
      <c r="K212" s="18">
        <v>32</v>
      </c>
      <c r="L212" s="18">
        <v>7.0000000000000007E-2</v>
      </c>
      <c r="M212" s="17">
        <v>1800</v>
      </c>
      <c r="N212" s="17">
        <f t="shared" si="21"/>
        <v>57600</v>
      </c>
      <c r="O212" s="17">
        <f t="shared" si="19"/>
        <v>576</v>
      </c>
      <c r="P212" s="17">
        <f t="shared" si="20"/>
        <v>58176</v>
      </c>
      <c r="Q212" s="15">
        <v>551</v>
      </c>
      <c r="R212" s="20"/>
    </row>
    <row r="213" spans="1:18" x14ac:dyDescent="0.25">
      <c r="A213" s="15" t="s">
        <v>20</v>
      </c>
      <c r="B213" s="16">
        <v>46137.373611111114</v>
      </c>
      <c r="C213" s="15">
        <v>202617</v>
      </c>
      <c r="D213" s="15">
        <v>26210</v>
      </c>
      <c r="E213" s="15">
        <v>3</v>
      </c>
      <c r="F213" s="15" t="s">
        <v>37</v>
      </c>
      <c r="G213" s="15">
        <v>2</v>
      </c>
      <c r="H213" s="15">
        <v>22</v>
      </c>
      <c r="I213" s="15">
        <v>1</v>
      </c>
      <c r="J213" s="15" t="s">
        <v>43</v>
      </c>
      <c r="K213" s="15">
        <v>18597</v>
      </c>
      <c r="L213" s="15">
        <v>0.25</v>
      </c>
      <c r="M213" s="17">
        <v>2</v>
      </c>
      <c r="N213" s="17">
        <f t="shared" si="21"/>
        <v>37194</v>
      </c>
      <c r="O213" s="17">
        <f t="shared" si="19"/>
        <v>371.94</v>
      </c>
      <c r="P213" s="17">
        <f t="shared" si="20"/>
        <v>37565.94</v>
      </c>
      <c r="Q213" s="15">
        <v>544</v>
      </c>
      <c r="R213" s="20"/>
    </row>
    <row r="214" spans="1:18" x14ac:dyDescent="0.25">
      <c r="A214" s="15" t="s">
        <v>20</v>
      </c>
      <c r="B214" s="16">
        <v>46137.356249999997</v>
      </c>
      <c r="C214" s="15">
        <v>202617</v>
      </c>
      <c r="D214" s="15">
        <v>25205</v>
      </c>
      <c r="E214" s="15">
        <v>3</v>
      </c>
      <c r="F214" s="15" t="s">
        <v>47</v>
      </c>
      <c r="G214" s="15">
        <v>1</v>
      </c>
      <c r="H214" s="15">
        <v>8</v>
      </c>
      <c r="I214" s="15">
        <v>1</v>
      </c>
      <c r="J214" s="15" t="s">
        <v>43</v>
      </c>
      <c r="K214" s="15">
        <v>120</v>
      </c>
      <c r="L214" s="15">
        <v>0.01</v>
      </c>
      <c r="M214" s="17">
        <v>1500</v>
      </c>
      <c r="N214" s="17">
        <f>+K214*M214</f>
        <v>180000</v>
      </c>
      <c r="O214" s="17">
        <f t="shared" si="19"/>
        <v>1800</v>
      </c>
      <c r="P214" s="17">
        <f t="shared" si="20"/>
        <v>181800</v>
      </c>
      <c r="Q214" s="15">
        <v>548</v>
      </c>
      <c r="R214" s="20"/>
    </row>
    <row r="215" spans="1:18" x14ac:dyDescent="0.25">
      <c r="A215" s="15" t="s">
        <v>20</v>
      </c>
      <c r="B215" s="16">
        <v>46137.35</v>
      </c>
      <c r="C215" s="15">
        <v>202617</v>
      </c>
      <c r="D215" s="15">
        <v>25206</v>
      </c>
      <c r="E215" s="15">
        <v>2</v>
      </c>
      <c r="F215" s="15" t="s">
        <v>30</v>
      </c>
      <c r="G215" s="15">
        <v>2</v>
      </c>
      <c r="H215" s="15">
        <v>4</v>
      </c>
      <c r="I215" s="15">
        <v>1</v>
      </c>
      <c r="J215" s="18" t="s">
        <v>31</v>
      </c>
      <c r="K215" s="15">
        <v>3</v>
      </c>
      <c r="L215" s="15">
        <v>0.21</v>
      </c>
      <c r="M215" s="17">
        <v>4000</v>
      </c>
      <c r="N215" s="17">
        <f t="shared" si="21"/>
        <v>12000</v>
      </c>
      <c r="O215" s="17">
        <f t="shared" si="19"/>
        <v>120</v>
      </c>
      <c r="P215" s="17">
        <f t="shared" si="20"/>
        <v>12120</v>
      </c>
      <c r="Q215" s="15">
        <v>541</v>
      </c>
      <c r="R215" s="20"/>
    </row>
    <row r="216" spans="1:18" x14ac:dyDescent="0.25">
      <c r="A216" s="18" t="s">
        <v>20</v>
      </c>
      <c r="B216" s="22">
        <v>46137.347222222219</v>
      </c>
      <c r="C216" s="15">
        <v>202617</v>
      </c>
      <c r="D216" s="15">
        <v>25206</v>
      </c>
      <c r="E216" s="18">
        <v>1</v>
      </c>
      <c r="F216" s="18" t="s">
        <v>29</v>
      </c>
      <c r="G216" s="18">
        <v>4</v>
      </c>
      <c r="H216" s="18">
        <v>23</v>
      </c>
      <c r="I216" s="18">
        <v>2</v>
      </c>
      <c r="J216" s="18" t="s">
        <v>27</v>
      </c>
      <c r="K216" s="18">
        <v>23</v>
      </c>
      <c r="L216" s="18">
        <v>0.26</v>
      </c>
      <c r="M216" s="17">
        <v>1800</v>
      </c>
      <c r="N216" s="17">
        <f t="shared" si="21"/>
        <v>41400</v>
      </c>
      <c r="O216" s="17">
        <f t="shared" si="19"/>
        <v>414</v>
      </c>
      <c r="P216" s="17">
        <f t="shared" si="20"/>
        <v>41814</v>
      </c>
      <c r="Q216" s="15">
        <v>542</v>
      </c>
      <c r="R216" s="20"/>
    </row>
    <row r="217" spans="1:18" x14ac:dyDescent="0.25">
      <c r="A217" s="15" t="s">
        <v>20</v>
      </c>
      <c r="B217" s="16">
        <v>46137.345833333333</v>
      </c>
      <c r="C217" s="15">
        <v>202617</v>
      </c>
      <c r="D217" s="15">
        <v>26210</v>
      </c>
      <c r="E217" s="15">
        <v>3</v>
      </c>
      <c r="F217" s="15" t="s">
        <v>44</v>
      </c>
      <c r="G217" s="15">
        <v>4</v>
      </c>
      <c r="H217" s="15">
        <v>32</v>
      </c>
      <c r="I217" s="15">
        <v>1</v>
      </c>
      <c r="J217" s="15" t="s">
        <v>43</v>
      </c>
      <c r="K217" s="15">
        <v>17520</v>
      </c>
      <c r="L217" s="15">
        <v>0.24</v>
      </c>
      <c r="M217" s="17">
        <v>17</v>
      </c>
      <c r="N217" s="17">
        <f t="shared" si="21"/>
        <v>297840</v>
      </c>
      <c r="O217" s="17">
        <f t="shared" si="19"/>
        <v>2978.4</v>
      </c>
      <c r="P217" s="17">
        <f t="shared" si="20"/>
        <v>300818.40000000002</v>
      </c>
      <c r="Q217" s="15">
        <v>547</v>
      </c>
      <c r="R217" s="20"/>
    </row>
    <row r="218" spans="1:18" x14ac:dyDescent="0.25">
      <c r="A218" s="15" t="s">
        <v>20</v>
      </c>
      <c r="B218" s="16">
        <v>46139.348611111112</v>
      </c>
      <c r="C218" s="15">
        <v>202618</v>
      </c>
      <c r="D218" s="15">
        <v>25206</v>
      </c>
      <c r="E218" s="15">
        <v>1</v>
      </c>
      <c r="F218" s="15" t="s">
        <v>49</v>
      </c>
      <c r="G218" s="15">
        <v>6</v>
      </c>
      <c r="H218" s="15">
        <v>48</v>
      </c>
      <c r="I218" s="15">
        <v>1</v>
      </c>
      <c r="J218" s="15" t="s">
        <v>27</v>
      </c>
      <c r="K218" s="15">
        <v>48</v>
      </c>
      <c r="L218" s="15">
        <v>0.11</v>
      </c>
      <c r="M218" s="17">
        <v>1800</v>
      </c>
      <c r="N218" s="17">
        <f t="shared" si="21"/>
        <v>86400</v>
      </c>
      <c r="O218" s="17">
        <f t="shared" si="19"/>
        <v>864</v>
      </c>
      <c r="P218" s="17">
        <f t="shared" si="20"/>
        <v>87264</v>
      </c>
      <c r="Q218" s="19">
        <v>558</v>
      </c>
      <c r="R218" s="20"/>
    </row>
    <row r="219" spans="1:18" x14ac:dyDescent="0.25">
      <c r="A219" s="18" t="s">
        <v>20</v>
      </c>
      <c r="B219" s="22">
        <v>46139.334027777775</v>
      </c>
      <c r="C219" s="15">
        <v>202618</v>
      </c>
      <c r="D219" s="15">
        <v>26210</v>
      </c>
      <c r="E219" s="18">
        <v>1</v>
      </c>
      <c r="F219" s="18" t="s">
        <v>30</v>
      </c>
      <c r="G219" s="18">
        <v>2</v>
      </c>
      <c r="H219" s="18">
        <v>16</v>
      </c>
      <c r="I219" s="18">
        <v>1</v>
      </c>
      <c r="J219" s="18" t="s">
        <v>31</v>
      </c>
      <c r="K219" s="18">
        <v>10</v>
      </c>
      <c r="L219" s="18">
        <v>0.72</v>
      </c>
      <c r="M219" s="17">
        <v>4000</v>
      </c>
      <c r="N219" s="17">
        <f t="shared" si="21"/>
        <v>40000</v>
      </c>
      <c r="O219" s="17">
        <f t="shared" si="19"/>
        <v>400</v>
      </c>
      <c r="P219" s="17">
        <f t="shared" si="20"/>
        <v>40400</v>
      </c>
      <c r="Q219" s="19">
        <v>562</v>
      </c>
      <c r="R219" s="20"/>
    </row>
    <row r="220" spans="1:18" x14ac:dyDescent="0.25">
      <c r="A220" s="15" t="s">
        <v>20</v>
      </c>
      <c r="B220" s="16">
        <v>46139.331944444442</v>
      </c>
      <c r="C220" s="15">
        <v>202618</v>
      </c>
      <c r="D220" s="15">
        <v>25205</v>
      </c>
      <c r="E220" s="15">
        <v>1</v>
      </c>
      <c r="F220" s="15" t="s">
        <v>29</v>
      </c>
      <c r="G220" s="15">
        <v>5</v>
      </c>
      <c r="H220" s="15">
        <v>40</v>
      </c>
      <c r="I220" s="15">
        <v>1</v>
      </c>
      <c r="J220" s="15" t="s">
        <v>27</v>
      </c>
      <c r="K220" s="15">
        <v>40</v>
      </c>
      <c r="L220" s="15">
        <v>0.31</v>
      </c>
      <c r="M220" s="17">
        <v>1800</v>
      </c>
      <c r="N220" s="17">
        <f t="shared" si="21"/>
        <v>72000</v>
      </c>
      <c r="O220" s="17">
        <f t="shared" si="19"/>
        <v>720</v>
      </c>
      <c r="P220" s="17">
        <f t="shared" si="20"/>
        <v>72720</v>
      </c>
      <c r="Q220" s="19">
        <v>557</v>
      </c>
      <c r="R220" s="20"/>
    </row>
    <row r="221" spans="1:18" x14ac:dyDescent="0.25">
      <c r="A221" s="18" t="s">
        <v>20</v>
      </c>
      <c r="B221" s="22">
        <v>46139.329861111109</v>
      </c>
      <c r="C221" s="15">
        <v>202618</v>
      </c>
      <c r="D221" s="15">
        <v>26210</v>
      </c>
      <c r="E221" s="18">
        <v>3</v>
      </c>
      <c r="F221" s="18" t="s">
        <v>44</v>
      </c>
      <c r="G221" s="18">
        <v>6</v>
      </c>
      <c r="H221" s="18">
        <v>48</v>
      </c>
      <c r="I221" s="18">
        <v>1</v>
      </c>
      <c r="J221" s="18" t="s">
        <v>43</v>
      </c>
      <c r="K221" s="18">
        <v>28459</v>
      </c>
      <c r="L221" s="18">
        <v>0.39</v>
      </c>
      <c r="M221" s="17">
        <v>17</v>
      </c>
      <c r="N221" s="17">
        <f t="shared" si="21"/>
        <v>483803</v>
      </c>
      <c r="O221" s="17">
        <f t="shared" si="19"/>
        <v>4838.03</v>
      </c>
      <c r="P221" s="17">
        <f t="shared" si="20"/>
        <v>488641.03</v>
      </c>
      <c r="Q221" s="19">
        <v>556</v>
      </c>
      <c r="R221" s="20"/>
    </row>
    <row r="222" spans="1:18" x14ac:dyDescent="0.25">
      <c r="A222" s="18" t="s">
        <v>20</v>
      </c>
      <c r="B222" s="22">
        <v>46140.377083333333</v>
      </c>
      <c r="C222" s="15">
        <v>202618</v>
      </c>
      <c r="D222" s="15">
        <v>26210</v>
      </c>
      <c r="E222" s="18">
        <v>3</v>
      </c>
      <c r="F222" s="18" t="s">
        <v>22</v>
      </c>
      <c r="G222" s="18">
        <v>1</v>
      </c>
      <c r="H222" s="18">
        <v>1</v>
      </c>
      <c r="I222" s="18">
        <v>1</v>
      </c>
      <c r="J222" s="18" t="s">
        <v>43</v>
      </c>
      <c r="K222" s="18">
        <v>1</v>
      </c>
      <c r="L222" s="18">
        <v>0.01</v>
      </c>
      <c r="M222" s="17">
        <v>70000</v>
      </c>
      <c r="N222" s="17">
        <f t="shared" si="21"/>
        <v>70000</v>
      </c>
      <c r="O222" s="17">
        <f t="shared" si="19"/>
        <v>700</v>
      </c>
      <c r="P222" s="17">
        <f t="shared" si="20"/>
        <v>70700</v>
      </c>
      <c r="Q222" s="19">
        <v>561</v>
      </c>
      <c r="R222" s="20"/>
    </row>
    <row r="223" spans="1:18" x14ac:dyDescent="0.25">
      <c r="A223" s="15" t="s">
        <v>20</v>
      </c>
      <c r="B223" s="16">
        <v>46140.374305555553</v>
      </c>
      <c r="C223" s="15">
        <v>202618</v>
      </c>
      <c r="D223" s="15">
        <v>26210</v>
      </c>
      <c r="E223" s="15">
        <v>1</v>
      </c>
      <c r="F223" s="15" t="s">
        <v>30</v>
      </c>
      <c r="G223" s="15">
        <v>2</v>
      </c>
      <c r="H223" s="15">
        <v>16</v>
      </c>
      <c r="I223" s="15">
        <v>1</v>
      </c>
      <c r="J223" s="18" t="s">
        <v>31</v>
      </c>
      <c r="K223" s="15">
        <v>9</v>
      </c>
      <c r="L223" s="15">
        <v>0.63</v>
      </c>
      <c r="M223" s="17">
        <v>4000</v>
      </c>
      <c r="N223" s="17">
        <f t="shared" si="21"/>
        <v>36000</v>
      </c>
      <c r="O223" s="17">
        <f t="shared" si="19"/>
        <v>360</v>
      </c>
      <c r="P223" s="17">
        <f t="shared" si="20"/>
        <v>36360</v>
      </c>
      <c r="Q223" s="19">
        <v>562</v>
      </c>
      <c r="R223" s="20"/>
    </row>
    <row r="224" spans="1:18" x14ac:dyDescent="0.25">
      <c r="A224" s="18" t="s">
        <v>20</v>
      </c>
      <c r="B224" s="22">
        <v>46140.372916666667</v>
      </c>
      <c r="C224" s="15">
        <v>202618</v>
      </c>
      <c r="D224" s="15">
        <v>25205</v>
      </c>
      <c r="E224" s="18">
        <v>1</v>
      </c>
      <c r="F224" s="18" t="s">
        <v>29</v>
      </c>
      <c r="G224" s="18">
        <v>4</v>
      </c>
      <c r="H224" s="18">
        <v>32</v>
      </c>
      <c r="I224" s="18">
        <v>1</v>
      </c>
      <c r="J224" s="18" t="s">
        <v>27</v>
      </c>
      <c r="K224" s="18">
        <v>32</v>
      </c>
      <c r="L224" s="18">
        <v>0.31</v>
      </c>
      <c r="M224" s="17">
        <v>1800</v>
      </c>
      <c r="N224" s="17">
        <f t="shared" si="21"/>
        <v>57600</v>
      </c>
      <c r="O224" s="17">
        <f t="shared" si="19"/>
        <v>576</v>
      </c>
      <c r="P224" s="17">
        <f t="shared" si="20"/>
        <v>58176</v>
      </c>
      <c r="Q224" s="19">
        <v>557</v>
      </c>
      <c r="R224" s="20"/>
    </row>
    <row r="225" spans="1:18" x14ac:dyDescent="0.25">
      <c r="A225" s="15" t="s">
        <v>20</v>
      </c>
      <c r="B225" s="16">
        <v>46140.371527777781</v>
      </c>
      <c r="C225" s="15">
        <v>202618</v>
      </c>
      <c r="D225" s="15">
        <v>26210</v>
      </c>
      <c r="E225" s="15">
        <v>3</v>
      </c>
      <c r="F225" s="15" t="s">
        <v>44</v>
      </c>
      <c r="G225" s="15">
        <v>6</v>
      </c>
      <c r="H225" s="15">
        <v>48</v>
      </c>
      <c r="I225" s="15">
        <v>1</v>
      </c>
      <c r="J225" s="15" t="s">
        <v>43</v>
      </c>
      <c r="K225" s="15">
        <v>31784</v>
      </c>
      <c r="L225" s="15">
        <v>0.44</v>
      </c>
      <c r="M225" s="17">
        <v>17</v>
      </c>
      <c r="N225" s="17">
        <f t="shared" si="21"/>
        <v>540328</v>
      </c>
      <c r="O225" s="17">
        <f t="shared" si="19"/>
        <v>5403.28</v>
      </c>
      <c r="P225" s="17">
        <f t="shared" si="20"/>
        <v>545731.28</v>
      </c>
      <c r="Q225" s="19">
        <v>556</v>
      </c>
      <c r="R225" s="20"/>
    </row>
    <row r="226" spans="1:18" x14ac:dyDescent="0.25">
      <c r="A226" s="18" t="s">
        <v>20</v>
      </c>
      <c r="B226" s="22">
        <v>46140.336111111108</v>
      </c>
      <c r="C226" s="15">
        <v>202618</v>
      </c>
      <c r="D226" s="15">
        <v>25206</v>
      </c>
      <c r="E226" s="18">
        <v>1</v>
      </c>
      <c r="F226" s="18" t="s">
        <v>48</v>
      </c>
      <c r="G226" s="18">
        <v>2</v>
      </c>
      <c r="H226" s="18">
        <v>16</v>
      </c>
      <c r="I226" s="18">
        <v>1</v>
      </c>
      <c r="J226" s="18" t="s">
        <v>27</v>
      </c>
      <c r="K226" s="18">
        <v>16</v>
      </c>
      <c r="L226" s="18">
        <v>0.18</v>
      </c>
      <c r="M226" s="17">
        <v>1800</v>
      </c>
      <c r="N226" s="17">
        <f t="shared" si="21"/>
        <v>28800</v>
      </c>
      <c r="O226" s="17">
        <f t="shared" si="19"/>
        <v>288</v>
      </c>
      <c r="P226" s="17">
        <f t="shared" si="20"/>
        <v>29088</v>
      </c>
      <c r="Q226" s="19">
        <v>559</v>
      </c>
      <c r="R226" s="20"/>
    </row>
    <row r="227" spans="1:18" x14ac:dyDescent="0.25">
      <c r="A227" s="15" t="s">
        <v>20</v>
      </c>
      <c r="B227" s="16">
        <v>46140.334027777775</v>
      </c>
      <c r="C227" s="15">
        <v>202618</v>
      </c>
      <c r="D227" s="15">
        <v>25206</v>
      </c>
      <c r="E227" s="15">
        <v>1</v>
      </c>
      <c r="F227" s="15" t="s">
        <v>49</v>
      </c>
      <c r="G227" s="15">
        <v>4</v>
      </c>
      <c r="H227" s="15">
        <v>32</v>
      </c>
      <c r="I227" s="15">
        <v>1</v>
      </c>
      <c r="J227" s="15" t="s">
        <v>27</v>
      </c>
      <c r="K227" s="15">
        <v>32</v>
      </c>
      <c r="L227" s="15">
        <v>0.1</v>
      </c>
      <c r="M227" s="17">
        <v>1800</v>
      </c>
      <c r="N227" s="17">
        <f t="shared" si="21"/>
        <v>57600</v>
      </c>
      <c r="O227" s="17">
        <f t="shared" si="19"/>
        <v>576</v>
      </c>
      <c r="P227" s="17">
        <f t="shared" si="20"/>
        <v>58176</v>
      </c>
      <c r="Q227" s="19">
        <v>558</v>
      </c>
      <c r="R227" s="20"/>
    </row>
    <row r="228" spans="1:18" x14ac:dyDescent="0.25">
      <c r="A228" s="18" t="s">
        <v>20</v>
      </c>
      <c r="B228" s="22">
        <v>46137.352083333331</v>
      </c>
      <c r="C228" s="15">
        <v>202618</v>
      </c>
      <c r="D228" s="15">
        <v>26210</v>
      </c>
      <c r="E228" s="18">
        <v>3</v>
      </c>
      <c r="F228" s="18" t="s">
        <v>22</v>
      </c>
      <c r="G228" s="18">
        <v>1</v>
      </c>
      <c r="H228" s="18">
        <v>1</v>
      </c>
      <c r="I228" s="18">
        <v>1</v>
      </c>
      <c r="J228" s="18" t="s">
        <v>43</v>
      </c>
      <c r="K228" s="18">
        <v>1</v>
      </c>
      <c r="L228" s="18">
        <v>0.2</v>
      </c>
      <c r="M228" s="17">
        <v>80000</v>
      </c>
      <c r="N228" s="17">
        <f t="shared" si="21"/>
        <v>80000</v>
      </c>
      <c r="O228" s="17">
        <f t="shared" si="19"/>
        <v>800</v>
      </c>
      <c r="P228" s="17">
        <f t="shared" si="20"/>
        <v>80800</v>
      </c>
      <c r="Q228" s="19">
        <v>561</v>
      </c>
      <c r="R228" s="20"/>
    </row>
    <row r="229" spans="1:18" x14ac:dyDescent="0.25">
      <c r="A229" s="18" t="s">
        <v>20</v>
      </c>
      <c r="B229" s="22">
        <v>46141.325694444444</v>
      </c>
      <c r="C229" s="15">
        <v>202618</v>
      </c>
      <c r="D229" s="15">
        <v>26210</v>
      </c>
      <c r="E229" s="18">
        <v>1</v>
      </c>
      <c r="F229" s="18" t="s">
        <v>30</v>
      </c>
      <c r="G229" s="18">
        <v>2</v>
      </c>
      <c r="H229" s="18">
        <v>16</v>
      </c>
      <c r="I229" s="18">
        <v>1</v>
      </c>
      <c r="J229" s="18" t="s">
        <v>31</v>
      </c>
      <c r="K229" s="18">
        <v>10</v>
      </c>
      <c r="L229" s="18">
        <v>0.71</v>
      </c>
      <c r="M229" s="17">
        <v>4000</v>
      </c>
      <c r="N229" s="17">
        <f t="shared" si="21"/>
        <v>40000</v>
      </c>
      <c r="O229" s="17">
        <f t="shared" si="19"/>
        <v>400</v>
      </c>
      <c r="P229" s="17">
        <f t="shared" si="20"/>
        <v>40400</v>
      </c>
      <c r="Q229" s="15">
        <v>562</v>
      </c>
      <c r="R229" s="20"/>
    </row>
    <row r="230" spans="1:18" x14ac:dyDescent="0.25">
      <c r="A230" s="18" t="s">
        <v>20</v>
      </c>
      <c r="B230" s="22">
        <v>46141.338888888888</v>
      </c>
      <c r="C230" s="15">
        <v>202618</v>
      </c>
      <c r="D230" s="15">
        <v>25206</v>
      </c>
      <c r="E230" s="18">
        <v>1</v>
      </c>
      <c r="F230" s="18" t="s">
        <v>50</v>
      </c>
      <c r="G230" s="18">
        <v>1</v>
      </c>
      <c r="H230" s="18">
        <v>8</v>
      </c>
      <c r="I230" s="18">
        <v>1</v>
      </c>
      <c r="J230" s="18" t="s">
        <v>27</v>
      </c>
      <c r="K230" s="18">
        <v>8</v>
      </c>
      <c r="L230" s="18">
        <v>0.09</v>
      </c>
      <c r="M230" s="17">
        <v>1800</v>
      </c>
      <c r="N230" s="17">
        <f t="shared" si="21"/>
        <v>14400</v>
      </c>
      <c r="O230" s="17">
        <f t="shared" si="19"/>
        <v>144</v>
      </c>
      <c r="P230" s="17">
        <f t="shared" si="20"/>
        <v>14544</v>
      </c>
      <c r="Q230" s="19">
        <v>559</v>
      </c>
      <c r="R230" s="20"/>
    </row>
    <row r="231" spans="1:18" x14ac:dyDescent="0.25">
      <c r="A231" s="15" t="s">
        <v>20</v>
      </c>
      <c r="B231" s="16">
        <v>46141.337500000001</v>
      </c>
      <c r="C231" s="15">
        <v>202618</v>
      </c>
      <c r="D231" s="15">
        <v>25206</v>
      </c>
      <c r="E231" s="15">
        <v>1</v>
      </c>
      <c r="F231" s="15" t="s">
        <v>49</v>
      </c>
      <c r="G231" s="15">
        <v>5</v>
      </c>
      <c r="H231" s="15">
        <v>40</v>
      </c>
      <c r="I231" s="15">
        <v>1</v>
      </c>
      <c r="J231" s="15" t="s">
        <v>27</v>
      </c>
      <c r="K231" s="15">
        <v>40</v>
      </c>
      <c r="L231" s="15">
        <v>0.13</v>
      </c>
      <c r="M231" s="17">
        <v>1800</v>
      </c>
      <c r="N231" s="17">
        <f t="shared" si="21"/>
        <v>72000</v>
      </c>
      <c r="O231" s="17">
        <f t="shared" si="19"/>
        <v>720</v>
      </c>
      <c r="P231" s="17">
        <f t="shared" si="20"/>
        <v>72720</v>
      </c>
      <c r="Q231" s="19">
        <v>558</v>
      </c>
      <c r="R231" s="20"/>
    </row>
    <row r="232" spans="1:18" x14ac:dyDescent="0.25">
      <c r="A232" s="18" t="s">
        <v>20</v>
      </c>
      <c r="B232" s="22">
        <v>46141.329861111109</v>
      </c>
      <c r="C232" s="15">
        <v>202618</v>
      </c>
      <c r="D232" s="15">
        <v>26210</v>
      </c>
      <c r="E232" s="18">
        <v>3</v>
      </c>
      <c r="F232" s="18" t="s">
        <v>22</v>
      </c>
      <c r="G232" s="18">
        <v>2</v>
      </c>
      <c r="H232" s="18">
        <v>1</v>
      </c>
      <c r="I232" s="18">
        <v>1</v>
      </c>
      <c r="J232" s="18" t="s">
        <v>43</v>
      </c>
      <c r="K232" s="18">
        <v>2</v>
      </c>
      <c r="L232" s="18">
        <v>0.5</v>
      </c>
      <c r="M232" s="17">
        <v>70000</v>
      </c>
      <c r="N232" s="17">
        <f t="shared" si="21"/>
        <v>140000</v>
      </c>
      <c r="O232" s="17">
        <f t="shared" si="19"/>
        <v>1400</v>
      </c>
      <c r="P232" s="17">
        <f t="shared" si="20"/>
        <v>141400</v>
      </c>
      <c r="Q232" s="19">
        <v>561</v>
      </c>
      <c r="R232" s="20"/>
    </row>
    <row r="233" spans="1:18" x14ac:dyDescent="0.25">
      <c r="A233" s="15" t="s">
        <v>20</v>
      </c>
      <c r="B233" s="16">
        <v>46141.324305555558</v>
      </c>
      <c r="C233" s="15">
        <v>202618</v>
      </c>
      <c r="D233" s="15">
        <v>26210</v>
      </c>
      <c r="E233" s="15">
        <v>3</v>
      </c>
      <c r="F233" s="15" t="s">
        <v>29</v>
      </c>
      <c r="G233" s="15">
        <v>4</v>
      </c>
      <c r="H233" s="15">
        <v>32</v>
      </c>
      <c r="I233" s="15">
        <v>3</v>
      </c>
      <c r="J233" s="15" t="s">
        <v>27</v>
      </c>
      <c r="K233" s="15">
        <v>32</v>
      </c>
      <c r="L233" s="15">
        <v>0.55000000000000004</v>
      </c>
      <c r="M233" s="17">
        <v>1800</v>
      </c>
      <c r="N233" s="17">
        <f t="shared" si="21"/>
        <v>57600</v>
      </c>
      <c r="O233" s="17">
        <f t="shared" si="19"/>
        <v>576</v>
      </c>
      <c r="P233" s="17">
        <f t="shared" si="20"/>
        <v>58176</v>
      </c>
      <c r="Q233" s="19">
        <v>557</v>
      </c>
      <c r="R233" s="20"/>
    </row>
    <row r="234" spans="1:18" x14ac:dyDescent="0.25">
      <c r="A234" s="18" t="s">
        <v>20</v>
      </c>
      <c r="B234" s="22">
        <v>46141.322222222225</v>
      </c>
      <c r="C234" s="15">
        <v>202618</v>
      </c>
      <c r="D234" s="15">
        <v>26210</v>
      </c>
      <c r="E234" s="18">
        <v>3</v>
      </c>
      <c r="F234" s="18" t="s">
        <v>44</v>
      </c>
      <c r="G234" s="18">
        <v>8</v>
      </c>
      <c r="H234" s="18">
        <v>64</v>
      </c>
      <c r="I234" s="18">
        <v>1</v>
      </c>
      <c r="J234" s="18" t="s">
        <v>43</v>
      </c>
      <c r="K234" s="18">
        <v>31699</v>
      </c>
      <c r="L234" s="18">
        <v>0.44</v>
      </c>
      <c r="M234" s="17">
        <v>17</v>
      </c>
      <c r="N234" s="17">
        <f t="shared" si="21"/>
        <v>538883</v>
      </c>
      <c r="O234" s="17">
        <f t="shared" si="19"/>
        <v>5388.83</v>
      </c>
      <c r="P234" s="17">
        <f t="shared" si="20"/>
        <v>544271.82999999996</v>
      </c>
      <c r="Q234" s="15">
        <v>556</v>
      </c>
      <c r="R234" s="20"/>
    </row>
    <row r="235" spans="1:18" x14ac:dyDescent="0.25">
      <c r="A235" s="18" t="s">
        <v>20</v>
      </c>
      <c r="B235" s="22">
        <v>46142.359027777777</v>
      </c>
      <c r="C235" s="15">
        <v>202618</v>
      </c>
      <c r="D235" s="15">
        <v>26210</v>
      </c>
      <c r="E235" s="18">
        <v>3</v>
      </c>
      <c r="F235" s="18" t="s">
        <v>22</v>
      </c>
      <c r="G235" s="18">
        <v>1</v>
      </c>
      <c r="H235" s="18">
        <v>10</v>
      </c>
      <c r="I235" s="18">
        <v>1</v>
      </c>
      <c r="J235" s="18" t="s">
        <v>43</v>
      </c>
      <c r="K235" s="18">
        <v>2</v>
      </c>
      <c r="L235" s="18">
        <v>0.01</v>
      </c>
      <c r="M235" s="17">
        <v>70000</v>
      </c>
      <c r="N235" s="17">
        <f t="shared" si="21"/>
        <v>140000</v>
      </c>
      <c r="O235" s="17">
        <f t="shared" si="19"/>
        <v>1400</v>
      </c>
      <c r="P235" s="17">
        <f t="shared" si="20"/>
        <v>141400</v>
      </c>
      <c r="Q235" s="15">
        <v>561</v>
      </c>
      <c r="R235" s="20"/>
    </row>
    <row r="236" spans="1:18" x14ac:dyDescent="0.25">
      <c r="A236" s="15" t="s">
        <v>20</v>
      </c>
      <c r="B236" s="16">
        <v>46142.357638888891</v>
      </c>
      <c r="C236" s="15">
        <v>202618</v>
      </c>
      <c r="D236" s="15">
        <v>26210</v>
      </c>
      <c r="E236" s="15">
        <v>1</v>
      </c>
      <c r="F236" s="15" t="s">
        <v>30</v>
      </c>
      <c r="G236" s="15">
        <v>2</v>
      </c>
      <c r="H236" s="15">
        <v>16</v>
      </c>
      <c r="I236" s="15">
        <v>1</v>
      </c>
      <c r="J236" s="18" t="s">
        <v>31</v>
      </c>
      <c r="K236" s="15">
        <v>10</v>
      </c>
      <c r="L236" s="15">
        <v>0.72</v>
      </c>
      <c r="M236" s="17">
        <v>4000</v>
      </c>
      <c r="N236" s="17">
        <f t="shared" si="21"/>
        <v>40000</v>
      </c>
      <c r="O236" s="17">
        <f t="shared" si="19"/>
        <v>400</v>
      </c>
      <c r="P236" s="17">
        <f t="shared" si="20"/>
        <v>40400</v>
      </c>
      <c r="Q236" s="15">
        <v>562</v>
      </c>
      <c r="R236" s="20"/>
    </row>
    <row r="237" spans="1:18" x14ac:dyDescent="0.25">
      <c r="A237" s="18" t="s">
        <v>20</v>
      </c>
      <c r="B237" s="22">
        <v>46142.354861111111</v>
      </c>
      <c r="C237" s="15">
        <v>202618</v>
      </c>
      <c r="D237" s="15">
        <v>25206</v>
      </c>
      <c r="E237" s="18">
        <v>2</v>
      </c>
      <c r="F237" s="18" t="s">
        <v>29</v>
      </c>
      <c r="G237" s="18">
        <v>5</v>
      </c>
      <c r="H237" s="18">
        <v>40</v>
      </c>
      <c r="I237" s="18">
        <v>1</v>
      </c>
      <c r="J237" s="18" t="s">
        <v>27</v>
      </c>
      <c r="K237" s="18">
        <v>40</v>
      </c>
      <c r="L237" s="18">
        <v>0.65</v>
      </c>
      <c r="M237" s="17">
        <v>1800</v>
      </c>
      <c r="N237" s="17">
        <f t="shared" si="21"/>
        <v>72000</v>
      </c>
      <c r="O237" s="17">
        <f t="shared" si="19"/>
        <v>720</v>
      </c>
      <c r="P237" s="17">
        <f t="shared" si="20"/>
        <v>72720</v>
      </c>
      <c r="Q237" s="15">
        <v>557</v>
      </c>
      <c r="R237" s="20"/>
    </row>
    <row r="238" spans="1:18" x14ac:dyDescent="0.25">
      <c r="A238" s="15" t="s">
        <v>20</v>
      </c>
      <c r="B238" s="16">
        <v>46142.353472222225</v>
      </c>
      <c r="C238" s="15">
        <v>202618</v>
      </c>
      <c r="D238" s="15">
        <v>26210</v>
      </c>
      <c r="E238" s="15">
        <v>3</v>
      </c>
      <c r="F238" s="15" t="s">
        <v>44</v>
      </c>
      <c r="G238" s="15">
        <v>7</v>
      </c>
      <c r="H238" s="15">
        <v>56</v>
      </c>
      <c r="I238" s="15">
        <v>1</v>
      </c>
      <c r="J238" s="15" t="s">
        <v>43</v>
      </c>
      <c r="K238" s="15">
        <v>36762</v>
      </c>
      <c r="L238" s="15">
        <v>0.51</v>
      </c>
      <c r="M238" s="17">
        <v>17</v>
      </c>
      <c r="N238" s="17">
        <f t="shared" si="21"/>
        <v>624954</v>
      </c>
      <c r="O238" s="17">
        <f t="shared" si="19"/>
        <v>6249.54</v>
      </c>
      <c r="P238" s="17">
        <f t="shared" si="20"/>
        <v>631203.54</v>
      </c>
      <c r="Q238" s="15">
        <v>556</v>
      </c>
      <c r="R238" s="20"/>
    </row>
    <row r="239" spans="1:18" x14ac:dyDescent="0.25">
      <c r="A239" s="15" t="s">
        <v>20</v>
      </c>
      <c r="B239" s="16">
        <v>46142.32708333333</v>
      </c>
      <c r="C239" s="15">
        <v>202618</v>
      </c>
      <c r="D239" s="15">
        <v>25206</v>
      </c>
      <c r="E239" s="15">
        <v>1</v>
      </c>
      <c r="F239" s="15" t="s">
        <v>50</v>
      </c>
      <c r="G239" s="15">
        <v>1</v>
      </c>
      <c r="H239" s="15">
        <v>8</v>
      </c>
      <c r="I239" s="15">
        <v>1</v>
      </c>
      <c r="J239" s="15" t="s">
        <v>27</v>
      </c>
      <c r="K239" s="15">
        <v>8</v>
      </c>
      <c r="L239" s="15">
        <v>0.22</v>
      </c>
      <c r="M239" s="17">
        <v>1800</v>
      </c>
      <c r="N239" s="17">
        <f t="shared" si="21"/>
        <v>14400</v>
      </c>
      <c r="O239" s="17">
        <f t="shared" si="19"/>
        <v>144</v>
      </c>
      <c r="P239" s="17">
        <f t="shared" si="20"/>
        <v>14544</v>
      </c>
      <c r="Q239" s="15">
        <v>559</v>
      </c>
      <c r="R239" s="20"/>
    </row>
    <row r="240" spans="1:18" x14ac:dyDescent="0.25">
      <c r="A240" s="18" t="s">
        <v>20</v>
      </c>
      <c r="B240" s="22">
        <v>46142.324999999997</v>
      </c>
      <c r="C240" s="15">
        <v>202618</v>
      </c>
      <c r="D240" s="15">
        <v>25206</v>
      </c>
      <c r="E240" s="18">
        <v>1</v>
      </c>
      <c r="F240" s="18" t="s">
        <v>48</v>
      </c>
      <c r="G240" s="18">
        <v>1</v>
      </c>
      <c r="H240" s="18">
        <v>8</v>
      </c>
      <c r="I240" s="18">
        <v>1</v>
      </c>
      <c r="J240" s="18" t="s">
        <v>27</v>
      </c>
      <c r="K240" s="18">
        <v>8</v>
      </c>
      <c r="L240" s="18">
        <v>0.19</v>
      </c>
      <c r="M240" s="17">
        <v>1800</v>
      </c>
      <c r="N240" s="17">
        <f t="shared" si="21"/>
        <v>14400</v>
      </c>
      <c r="O240" s="17">
        <f t="shared" si="19"/>
        <v>144</v>
      </c>
      <c r="P240" s="17">
        <f t="shared" si="20"/>
        <v>14544</v>
      </c>
      <c r="Q240" s="15">
        <v>559</v>
      </c>
      <c r="R240" s="20"/>
    </row>
    <row r="241" spans="1:18" x14ac:dyDescent="0.25">
      <c r="A241" s="15" t="s">
        <v>20</v>
      </c>
      <c r="B241" s="16">
        <v>46142.323611111111</v>
      </c>
      <c r="C241" s="15">
        <v>202618</v>
      </c>
      <c r="D241" s="15">
        <v>25206</v>
      </c>
      <c r="E241" s="15">
        <v>1</v>
      </c>
      <c r="F241" s="15" t="s">
        <v>49</v>
      </c>
      <c r="G241" s="15">
        <v>5</v>
      </c>
      <c r="H241" s="15">
        <v>40</v>
      </c>
      <c r="I241" s="15">
        <v>1</v>
      </c>
      <c r="J241" s="15" t="s">
        <v>27</v>
      </c>
      <c r="K241" s="15">
        <v>40</v>
      </c>
      <c r="L241" s="15">
        <v>0.12</v>
      </c>
      <c r="M241" s="17">
        <v>1800</v>
      </c>
      <c r="N241" s="17">
        <f t="shared" si="21"/>
        <v>72000</v>
      </c>
      <c r="O241" s="17">
        <f t="shared" si="19"/>
        <v>720</v>
      </c>
      <c r="P241" s="17">
        <f t="shared" si="20"/>
        <v>72720</v>
      </c>
      <c r="Q241" s="15">
        <v>558</v>
      </c>
      <c r="R241" s="20"/>
    </row>
    <row r="242" spans="1:18" x14ac:dyDescent="0.25">
      <c r="A242" s="18" t="s">
        <v>20</v>
      </c>
      <c r="B242" s="22">
        <v>46143.359027777777</v>
      </c>
      <c r="C242" s="15">
        <v>202618</v>
      </c>
      <c r="D242" s="15">
        <v>26210</v>
      </c>
      <c r="E242" s="18">
        <v>3</v>
      </c>
      <c r="F242" s="18" t="s">
        <v>22</v>
      </c>
      <c r="G242" s="18">
        <v>1</v>
      </c>
      <c r="H242" s="18">
        <v>10</v>
      </c>
      <c r="I242" s="18">
        <v>1</v>
      </c>
      <c r="J242" s="18" t="s">
        <v>43</v>
      </c>
      <c r="K242" s="18">
        <v>1</v>
      </c>
      <c r="L242" s="18">
        <v>0.2</v>
      </c>
      <c r="M242" s="17">
        <v>70000</v>
      </c>
      <c r="N242" s="17">
        <f t="shared" si="21"/>
        <v>70000</v>
      </c>
      <c r="O242" s="17">
        <f t="shared" si="19"/>
        <v>700</v>
      </c>
      <c r="P242" s="17">
        <f t="shared" si="20"/>
        <v>70700</v>
      </c>
      <c r="Q242" s="15">
        <v>561</v>
      </c>
      <c r="R242" s="20"/>
    </row>
    <row r="243" spans="1:18" x14ac:dyDescent="0.25">
      <c r="A243" s="18" t="s">
        <v>20</v>
      </c>
      <c r="B243" s="22">
        <v>46143.366666666669</v>
      </c>
      <c r="C243" s="15">
        <v>202618</v>
      </c>
      <c r="D243" s="15">
        <v>25206</v>
      </c>
      <c r="E243" s="18">
        <v>1</v>
      </c>
      <c r="F243" s="18" t="s">
        <v>49</v>
      </c>
      <c r="G243" s="18">
        <v>2</v>
      </c>
      <c r="H243" s="18">
        <v>16</v>
      </c>
      <c r="I243" s="18">
        <v>1</v>
      </c>
      <c r="J243" s="18" t="s">
        <v>27</v>
      </c>
      <c r="K243" s="18">
        <v>16</v>
      </c>
      <c r="L243" s="18">
        <v>0.04</v>
      </c>
      <c r="M243" s="17">
        <v>1800</v>
      </c>
      <c r="N243" s="17">
        <f t="shared" si="21"/>
        <v>28800</v>
      </c>
      <c r="O243" s="17">
        <f t="shared" si="19"/>
        <v>288</v>
      </c>
      <c r="P243" s="17">
        <f t="shared" si="20"/>
        <v>29088</v>
      </c>
      <c r="Q243" s="15">
        <v>558</v>
      </c>
      <c r="R243" s="20"/>
    </row>
    <row r="244" spans="1:18" x14ac:dyDescent="0.25">
      <c r="A244" s="15" t="s">
        <v>20</v>
      </c>
      <c r="B244" s="16">
        <v>46143.323611111111</v>
      </c>
      <c r="C244" s="15">
        <v>202618</v>
      </c>
      <c r="D244" s="15">
        <v>26210</v>
      </c>
      <c r="E244" s="15">
        <v>1</v>
      </c>
      <c r="F244" s="15" t="s">
        <v>30</v>
      </c>
      <c r="G244" s="15">
        <v>2</v>
      </c>
      <c r="H244" s="15">
        <v>16</v>
      </c>
      <c r="I244" s="15">
        <v>1</v>
      </c>
      <c r="J244" s="18" t="s">
        <v>31</v>
      </c>
      <c r="K244" s="15">
        <v>10</v>
      </c>
      <c r="L244" s="15">
        <v>0.71</v>
      </c>
      <c r="M244" s="17">
        <v>4000</v>
      </c>
      <c r="N244" s="17">
        <f t="shared" si="21"/>
        <v>40000</v>
      </c>
      <c r="O244" s="17">
        <f t="shared" si="19"/>
        <v>400</v>
      </c>
      <c r="P244" s="17">
        <f t="shared" si="20"/>
        <v>40400</v>
      </c>
      <c r="Q244" s="15">
        <v>562</v>
      </c>
      <c r="R244" s="20"/>
    </row>
    <row r="245" spans="1:18" x14ac:dyDescent="0.25">
      <c r="A245" s="18" t="s">
        <v>20</v>
      </c>
      <c r="B245" s="22">
        <v>46143.322222222225</v>
      </c>
      <c r="C245" s="15">
        <v>202618</v>
      </c>
      <c r="D245" s="15">
        <v>25206</v>
      </c>
      <c r="E245" s="18">
        <v>2</v>
      </c>
      <c r="F245" s="18" t="s">
        <v>29</v>
      </c>
      <c r="G245" s="18">
        <v>5</v>
      </c>
      <c r="H245" s="18">
        <v>40</v>
      </c>
      <c r="I245" s="18">
        <v>1</v>
      </c>
      <c r="J245" s="18" t="s">
        <v>27</v>
      </c>
      <c r="K245" s="18">
        <v>40</v>
      </c>
      <c r="L245" s="18">
        <v>0.43</v>
      </c>
      <c r="M245" s="17">
        <v>1800</v>
      </c>
      <c r="N245" s="17">
        <f t="shared" si="21"/>
        <v>72000</v>
      </c>
      <c r="O245" s="17">
        <f t="shared" si="19"/>
        <v>720</v>
      </c>
      <c r="P245" s="17">
        <f t="shared" si="20"/>
        <v>72720</v>
      </c>
      <c r="Q245" s="15">
        <v>557</v>
      </c>
      <c r="R245" s="20"/>
    </row>
    <row r="246" spans="1:18" x14ac:dyDescent="0.25">
      <c r="A246" s="15" t="s">
        <v>20</v>
      </c>
      <c r="B246" s="16">
        <v>46143.319444444445</v>
      </c>
      <c r="C246" s="15">
        <v>202618</v>
      </c>
      <c r="D246" s="15">
        <v>26210</v>
      </c>
      <c r="E246" s="15">
        <v>3</v>
      </c>
      <c r="F246" s="15" t="s">
        <v>44</v>
      </c>
      <c r="G246" s="15">
        <v>6</v>
      </c>
      <c r="H246" s="15">
        <v>48</v>
      </c>
      <c r="I246" s="15">
        <v>1</v>
      </c>
      <c r="J246" s="15" t="s">
        <v>43</v>
      </c>
      <c r="K246" s="15">
        <v>34377</v>
      </c>
      <c r="L246" s="15">
        <v>0.47</v>
      </c>
      <c r="M246" s="17">
        <v>17</v>
      </c>
      <c r="N246" s="17">
        <f>+K246*M246</f>
        <v>584409</v>
      </c>
      <c r="O246" s="17">
        <f t="shared" si="19"/>
        <v>5844.09</v>
      </c>
      <c r="P246" s="17">
        <f t="shared" si="20"/>
        <v>590253.09</v>
      </c>
      <c r="Q246" s="15">
        <v>556</v>
      </c>
      <c r="R246" s="20"/>
    </row>
    <row r="247" spans="1:18" x14ac:dyDescent="0.25">
      <c r="A247" s="18" t="s">
        <v>20</v>
      </c>
      <c r="B247" s="22">
        <v>46144.329861111109</v>
      </c>
      <c r="C247" s="15">
        <v>202618</v>
      </c>
      <c r="D247" s="15">
        <v>26210</v>
      </c>
      <c r="E247" s="18">
        <v>3</v>
      </c>
      <c r="F247" s="18" t="s">
        <v>22</v>
      </c>
      <c r="G247" s="18">
        <v>2</v>
      </c>
      <c r="H247" s="18">
        <v>1</v>
      </c>
      <c r="I247" s="18">
        <v>1</v>
      </c>
      <c r="J247" s="18" t="s">
        <v>43</v>
      </c>
      <c r="K247" s="18">
        <v>2</v>
      </c>
      <c r="L247" s="18">
        <v>0.5</v>
      </c>
      <c r="M247" s="17">
        <v>70000</v>
      </c>
      <c r="N247" s="17">
        <f>+K247*M247</f>
        <v>140000</v>
      </c>
      <c r="O247" s="17">
        <f t="shared" si="19"/>
        <v>1400</v>
      </c>
      <c r="P247" s="17">
        <f t="shared" si="20"/>
        <v>141400</v>
      </c>
      <c r="Q247" s="15">
        <v>561</v>
      </c>
      <c r="R247" s="20"/>
    </row>
    <row r="248" spans="1:18" x14ac:dyDescent="0.25">
      <c r="A248" s="18" t="s">
        <v>20</v>
      </c>
      <c r="B248" s="22">
        <v>46144.352083333331</v>
      </c>
      <c r="C248" s="15">
        <v>202618</v>
      </c>
      <c r="D248" s="15">
        <v>25206</v>
      </c>
      <c r="E248" s="18">
        <v>1</v>
      </c>
      <c r="F248" s="18" t="s">
        <v>50</v>
      </c>
      <c r="G248" s="18">
        <v>1</v>
      </c>
      <c r="H248" s="18">
        <v>8</v>
      </c>
      <c r="I248" s="18">
        <v>1</v>
      </c>
      <c r="J248" s="18" t="s">
        <v>27</v>
      </c>
      <c r="K248" s="18">
        <v>8</v>
      </c>
      <c r="L248" s="18">
        <v>0.08</v>
      </c>
      <c r="M248" s="17">
        <v>1800</v>
      </c>
      <c r="N248" s="17">
        <f t="shared" si="21"/>
        <v>14400</v>
      </c>
      <c r="O248" s="17">
        <f t="shared" si="19"/>
        <v>144</v>
      </c>
      <c r="P248" s="17">
        <f t="shared" si="20"/>
        <v>14544</v>
      </c>
      <c r="Q248" s="15">
        <v>559</v>
      </c>
      <c r="R248" s="20"/>
    </row>
    <row r="249" spans="1:18" x14ac:dyDescent="0.25">
      <c r="A249" s="15" t="s">
        <v>20</v>
      </c>
      <c r="B249" s="16">
        <v>46144.350694444445</v>
      </c>
      <c r="C249" s="15">
        <v>202618</v>
      </c>
      <c r="D249" s="15">
        <v>25206</v>
      </c>
      <c r="E249" s="15">
        <v>1</v>
      </c>
      <c r="F249" s="15" t="s">
        <v>48</v>
      </c>
      <c r="G249" s="15">
        <v>1</v>
      </c>
      <c r="H249" s="15">
        <v>8</v>
      </c>
      <c r="I249" s="15">
        <v>1</v>
      </c>
      <c r="J249" s="15" t="s">
        <v>27</v>
      </c>
      <c r="K249" s="15">
        <v>8</v>
      </c>
      <c r="L249" s="15">
        <v>0.08</v>
      </c>
      <c r="M249" s="17">
        <v>1800</v>
      </c>
      <c r="N249" s="17">
        <f t="shared" si="21"/>
        <v>14400</v>
      </c>
      <c r="O249" s="17">
        <f t="shared" si="19"/>
        <v>144</v>
      </c>
      <c r="P249" s="17">
        <f t="shared" si="20"/>
        <v>14544</v>
      </c>
      <c r="Q249" s="15">
        <v>559</v>
      </c>
      <c r="R249" s="20"/>
    </row>
    <row r="250" spans="1:18" x14ac:dyDescent="0.25">
      <c r="A250" s="18" t="s">
        <v>20</v>
      </c>
      <c r="B250" s="22">
        <v>46144.349305555559</v>
      </c>
      <c r="C250" s="15">
        <v>202618</v>
      </c>
      <c r="D250" s="15">
        <v>25206</v>
      </c>
      <c r="E250" s="18">
        <v>1</v>
      </c>
      <c r="F250" s="18" t="s">
        <v>49</v>
      </c>
      <c r="G250" s="18">
        <v>4</v>
      </c>
      <c r="H250" s="18">
        <v>32</v>
      </c>
      <c r="I250" s="18">
        <v>1</v>
      </c>
      <c r="J250" s="18" t="s">
        <v>27</v>
      </c>
      <c r="K250" s="18">
        <v>32</v>
      </c>
      <c r="L250" s="18">
        <v>0.09</v>
      </c>
      <c r="M250" s="17">
        <v>1800</v>
      </c>
      <c r="N250" s="17">
        <f t="shared" si="21"/>
        <v>57600</v>
      </c>
      <c r="O250" s="17">
        <f t="shared" si="19"/>
        <v>576</v>
      </c>
      <c r="P250" s="17">
        <f t="shared" si="20"/>
        <v>58176</v>
      </c>
      <c r="Q250" s="15">
        <v>558</v>
      </c>
      <c r="R250" s="20"/>
    </row>
    <row r="251" spans="1:18" x14ac:dyDescent="0.25">
      <c r="A251" s="18" t="s">
        <v>20</v>
      </c>
      <c r="B251" s="22">
        <v>46146.404166666667</v>
      </c>
      <c r="C251" s="18">
        <v>202619</v>
      </c>
      <c r="D251" s="15">
        <v>26210</v>
      </c>
      <c r="E251" s="18">
        <v>3</v>
      </c>
      <c r="F251" s="18" t="s">
        <v>37</v>
      </c>
      <c r="G251" s="18">
        <v>2</v>
      </c>
      <c r="H251" s="18">
        <v>22</v>
      </c>
      <c r="I251" s="18">
        <v>1</v>
      </c>
      <c r="J251" s="18" t="s">
        <v>43</v>
      </c>
      <c r="K251" s="18">
        <v>20500</v>
      </c>
      <c r="L251" s="18">
        <v>0.28000000000000003</v>
      </c>
      <c r="M251" s="17">
        <v>2</v>
      </c>
      <c r="N251" s="17">
        <f t="shared" si="21"/>
        <v>41000</v>
      </c>
      <c r="O251" s="17">
        <f t="shared" ref="O251:O314" si="22">+N251*0.01</f>
        <v>410</v>
      </c>
      <c r="P251" s="17">
        <f t="shared" ref="P251:P314" si="23">+N251+O251</f>
        <v>41410</v>
      </c>
      <c r="Q251" s="19">
        <v>563</v>
      </c>
      <c r="R251" s="20"/>
    </row>
    <row r="252" spans="1:18" x14ac:dyDescent="0.25">
      <c r="A252" s="15" t="s">
        <v>20</v>
      </c>
      <c r="B252" s="16">
        <v>46146.394444444442</v>
      </c>
      <c r="C252" s="18">
        <v>202619</v>
      </c>
      <c r="D252" s="15">
        <v>26210</v>
      </c>
      <c r="E252" s="15">
        <v>3</v>
      </c>
      <c r="F252" s="15" t="s">
        <v>22</v>
      </c>
      <c r="G252" s="15">
        <v>1</v>
      </c>
      <c r="H252" s="15">
        <v>8</v>
      </c>
      <c r="I252" s="15">
        <v>1</v>
      </c>
      <c r="J252" s="15" t="s">
        <v>43</v>
      </c>
      <c r="K252" s="15">
        <v>1</v>
      </c>
      <c r="L252" s="15">
        <v>0.01</v>
      </c>
      <c r="M252" s="17">
        <v>80000</v>
      </c>
      <c r="N252" s="17">
        <f t="shared" si="21"/>
        <v>80000</v>
      </c>
      <c r="O252" s="17">
        <f t="shared" si="22"/>
        <v>800</v>
      </c>
      <c r="P252" s="17">
        <f t="shared" si="23"/>
        <v>80800</v>
      </c>
      <c r="Q252" s="19">
        <v>571</v>
      </c>
      <c r="R252" s="20"/>
    </row>
    <row r="253" spans="1:18" x14ac:dyDescent="0.25">
      <c r="A253" s="18" t="s">
        <v>20</v>
      </c>
      <c r="B253" s="22">
        <v>46146.393750000003</v>
      </c>
      <c r="C253" s="18">
        <v>202619</v>
      </c>
      <c r="D253" s="15">
        <v>26210</v>
      </c>
      <c r="E253" s="18">
        <v>1</v>
      </c>
      <c r="F253" s="18" t="s">
        <v>30</v>
      </c>
      <c r="G253" s="18">
        <v>2</v>
      </c>
      <c r="H253" s="18">
        <v>16</v>
      </c>
      <c r="I253" s="18">
        <v>1</v>
      </c>
      <c r="J253" s="18" t="s">
        <v>31</v>
      </c>
      <c r="K253" s="18">
        <v>10</v>
      </c>
      <c r="L253" s="18">
        <v>0.72</v>
      </c>
      <c r="M253" s="17">
        <v>4000</v>
      </c>
      <c r="N253" s="17">
        <f t="shared" si="21"/>
        <v>40000</v>
      </c>
      <c r="O253" s="17">
        <f t="shared" si="22"/>
        <v>400</v>
      </c>
      <c r="P253" s="17">
        <f t="shared" si="23"/>
        <v>40400</v>
      </c>
      <c r="Q253" s="19">
        <v>572</v>
      </c>
      <c r="R253" s="20"/>
    </row>
    <row r="254" spans="1:18" x14ac:dyDescent="0.25">
      <c r="A254" s="15" t="s">
        <v>20</v>
      </c>
      <c r="B254" s="16">
        <v>46146.39166666667</v>
      </c>
      <c r="C254" s="18">
        <v>202619</v>
      </c>
      <c r="D254" s="18">
        <v>25201</v>
      </c>
      <c r="E254" s="15">
        <v>2</v>
      </c>
      <c r="F254" s="15" t="s">
        <v>29</v>
      </c>
      <c r="G254" s="15">
        <v>5</v>
      </c>
      <c r="H254" s="15">
        <v>40</v>
      </c>
      <c r="I254" s="15">
        <v>3</v>
      </c>
      <c r="J254" s="15" t="s">
        <v>27</v>
      </c>
      <c r="K254" s="15">
        <v>40</v>
      </c>
      <c r="L254" s="15">
        <v>0.38</v>
      </c>
      <c r="M254" s="17">
        <v>1800</v>
      </c>
      <c r="N254" s="17">
        <f t="shared" si="21"/>
        <v>72000</v>
      </c>
      <c r="O254" s="17">
        <f t="shared" si="22"/>
        <v>720</v>
      </c>
      <c r="P254" s="17">
        <f t="shared" si="23"/>
        <v>72720</v>
      </c>
      <c r="Q254" s="19">
        <v>581</v>
      </c>
      <c r="R254" s="20"/>
    </row>
    <row r="255" spans="1:18" x14ac:dyDescent="0.25">
      <c r="A255" s="18" t="s">
        <v>20</v>
      </c>
      <c r="B255" s="22">
        <v>46146.390277777777</v>
      </c>
      <c r="C255" s="18">
        <v>202619</v>
      </c>
      <c r="D255" s="15">
        <v>26210</v>
      </c>
      <c r="E255" s="18">
        <v>3</v>
      </c>
      <c r="F255" s="18" t="s">
        <v>44</v>
      </c>
      <c r="G255" s="18">
        <v>7</v>
      </c>
      <c r="H255" s="18">
        <v>56</v>
      </c>
      <c r="I255" s="18">
        <v>1</v>
      </c>
      <c r="J255" s="18" t="s">
        <v>43</v>
      </c>
      <c r="K255" s="18">
        <v>29433</v>
      </c>
      <c r="L255" s="18">
        <v>0.4</v>
      </c>
      <c r="M255" s="17">
        <v>17</v>
      </c>
      <c r="N255" s="17">
        <f t="shared" si="21"/>
        <v>500361</v>
      </c>
      <c r="O255" s="17">
        <f t="shared" si="22"/>
        <v>5003.6099999999997</v>
      </c>
      <c r="P255" s="17">
        <f t="shared" si="23"/>
        <v>505364.61</v>
      </c>
      <c r="Q255" s="19">
        <v>567</v>
      </c>
      <c r="R255" s="20"/>
    </row>
    <row r="256" spans="1:18" x14ac:dyDescent="0.25">
      <c r="A256" s="15" t="s">
        <v>20</v>
      </c>
      <c r="B256" s="16">
        <v>46146.336111111108</v>
      </c>
      <c r="C256" s="18">
        <v>202619</v>
      </c>
      <c r="D256" s="15">
        <v>25206</v>
      </c>
      <c r="E256" s="15">
        <v>1</v>
      </c>
      <c r="F256" s="15" t="s">
        <v>49</v>
      </c>
      <c r="G256" s="15">
        <v>5</v>
      </c>
      <c r="H256" s="15">
        <v>40</v>
      </c>
      <c r="I256" s="15">
        <v>1</v>
      </c>
      <c r="J256" s="15" t="s">
        <v>27</v>
      </c>
      <c r="K256" s="15">
        <v>40</v>
      </c>
      <c r="L256" s="15">
        <v>0.1</v>
      </c>
      <c r="M256" s="17">
        <v>1800</v>
      </c>
      <c r="N256" s="17">
        <f t="shared" si="21"/>
        <v>72000</v>
      </c>
      <c r="O256" s="17">
        <f t="shared" si="22"/>
        <v>720</v>
      </c>
      <c r="P256" s="17">
        <f t="shared" si="23"/>
        <v>72720</v>
      </c>
      <c r="Q256" s="19">
        <v>566</v>
      </c>
      <c r="R256" s="20"/>
    </row>
    <row r="257" spans="1:18" x14ac:dyDescent="0.25">
      <c r="A257" s="18" t="s">
        <v>20</v>
      </c>
      <c r="B257" s="22">
        <v>46146.338194444441</v>
      </c>
      <c r="C257" s="18">
        <v>202619</v>
      </c>
      <c r="D257" s="15">
        <v>25206</v>
      </c>
      <c r="E257" s="18">
        <v>1</v>
      </c>
      <c r="F257" s="18" t="s">
        <v>48</v>
      </c>
      <c r="G257" s="18">
        <v>1</v>
      </c>
      <c r="H257" s="18">
        <v>8</v>
      </c>
      <c r="I257" s="18">
        <v>1</v>
      </c>
      <c r="J257" s="18" t="s">
        <v>27</v>
      </c>
      <c r="K257" s="18">
        <v>8</v>
      </c>
      <c r="L257" s="18">
        <v>0.17</v>
      </c>
      <c r="M257" s="17">
        <v>1800</v>
      </c>
      <c r="N257" s="17">
        <f t="shared" si="21"/>
        <v>14400</v>
      </c>
      <c r="O257" s="17">
        <f t="shared" si="22"/>
        <v>144</v>
      </c>
      <c r="P257" s="17">
        <f t="shared" si="23"/>
        <v>14544</v>
      </c>
      <c r="Q257" s="19">
        <v>568</v>
      </c>
      <c r="R257" s="20"/>
    </row>
    <row r="258" spans="1:18" x14ac:dyDescent="0.25">
      <c r="A258" s="23" t="s">
        <v>20</v>
      </c>
      <c r="B258" s="24">
        <v>46147.366666666669</v>
      </c>
      <c r="C258" s="18">
        <v>202619</v>
      </c>
      <c r="D258" s="15">
        <v>26210</v>
      </c>
      <c r="E258" s="23">
        <v>3</v>
      </c>
      <c r="F258" s="23" t="s">
        <v>37</v>
      </c>
      <c r="G258" s="23">
        <v>2</v>
      </c>
      <c r="H258" s="23">
        <v>22</v>
      </c>
      <c r="I258" s="23">
        <v>1</v>
      </c>
      <c r="J258" s="23" t="s">
        <v>43</v>
      </c>
      <c r="K258" s="23">
        <v>12152</v>
      </c>
      <c r="L258" s="23">
        <v>0.16</v>
      </c>
      <c r="M258" s="17">
        <v>2</v>
      </c>
      <c r="N258" s="17">
        <f t="shared" si="21"/>
        <v>24304</v>
      </c>
      <c r="O258" s="17">
        <f t="shared" si="22"/>
        <v>243.04</v>
      </c>
      <c r="P258" s="17">
        <f t="shared" si="23"/>
        <v>24547.040000000001</v>
      </c>
      <c r="Q258" s="19">
        <v>563</v>
      </c>
      <c r="R258" s="20"/>
    </row>
    <row r="259" spans="1:18" x14ac:dyDescent="0.25">
      <c r="A259" s="25" t="s">
        <v>20</v>
      </c>
      <c r="B259" s="26">
        <v>46147.359722222223</v>
      </c>
      <c r="C259" s="18">
        <v>202619</v>
      </c>
      <c r="D259" s="15">
        <v>26210</v>
      </c>
      <c r="E259" s="25">
        <v>3</v>
      </c>
      <c r="F259" s="25" t="s">
        <v>22</v>
      </c>
      <c r="G259" s="25">
        <v>1</v>
      </c>
      <c r="H259" s="25">
        <v>8</v>
      </c>
      <c r="I259" s="25">
        <v>1</v>
      </c>
      <c r="J259" s="25" t="s">
        <v>43</v>
      </c>
      <c r="K259" s="25">
        <v>1</v>
      </c>
      <c r="L259" s="25">
        <v>0.02</v>
      </c>
      <c r="M259" s="17">
        <v>60000</v>
      </c>
      <c r="N259" s="17">
        <f t="shared" si="21"/>
        <v>60000</v>
      </c>
      <c r="O259" s="17">
        <f t="shared" si="22"/>
        <v>600</v>
      </c>
      <c r="P259" s="17">
        <f t="shared" si="23"/>
        <v>60600</v>
      </c>
      <c r="Q259" s="19">
        <v>571</v>
      </c>
      <c r="R259" s="20"/>
    </row>
    <row r="260" spans="1:18" x14ac:dyDescent="0.25">
      <c r="A260" s="23" t="s">
        <v>20</v>
      </c>
      <c r="B260" s="24">
        <v>46147.356249999997</v>
      </c>
      <c r="C260" s="18">
        <v>202619</v>
      </c>
      <c r="D260" s="15">
        <v>26210</v>
      </c>
      <c r="E260" s="23">
        <v>1</v>
      </c>
      <c r="F260" s="23" t="s">
        <v>30</v>
      </c>
      <c r="G260" s="23">
        <v>2</v>
      </c>
      <c r="H260" s="23">
        <v>16</v>
      </c>
      <c r="I260" s="23">
        <v>1</v>
      </c>
      <c r="J260" s="18" t="s">
        <v>31</v>
      </c>
      <c r="K260" s="23">
        <v>10</v>
      </c>
      <c r="L260" s="23">
        <v>0.72</v>
      </c>
      <c r="M260" s="17">
        <v>4000</v>
      </c>
      <c r="N260" s="17">
        <f t="shared" ref="N260:N323" si="24">+K260*M260</f>
        <v>40000</v>
      </c>
      <c r="O260" s="17">
        <f t="shared" si="22"/>
        <v>400</v>
      </c>
      <c r="P260" s="17">
        <f t="shared" si="23"/>
        <v>40400</v>
      </c>
      <c r="Q260" s="19">
        <v>572</v>
      </c>
      <c r="R260" s="20"/>
    </row>
    <row r="261" spans="1:18" x14ac:dyDescent="0.25">
      <c r="A261" s="25" t="s">
        <v>20</v>
      </c>
      <c r="B261" s="26">
        <v>46147.354861111111</v>
      </c>
      <c r="C261" s="18">
        <v>202619</v>
      </c>
      <c r="D261" s="18">
        <v>25201</v>
      </c>
      <c r="E261" s="25">
        <v>1</v>
      </c>
      <c r="F261" s="25" t="s">
        <v>29</v>
      </c>
      <c r="G261" s="25">
        <v>5</v>
      </c>
      <c r="H261" s="25">
        <v>40</v>
      </c>
      <c r="I261" s="25">
        <v>3</v>
      </c>
      <c r="J261" s="25" t="s">
        <v>27</v>
      </c>
      <c r="K261" s="25">
        <v>40</v>
      </c>
      <c r="L261" s="25">
        <v>1</v>
      </c>
      <c r="M261" s="17">
        <v>1800</v>
      </c>
      <c r="N261" s="17">
        <f t="shared" si="24"/>
        <v>72000</v>
      </c>
      <c r="O261" s="17">
        <f t="shared" si="22"/>
        <v>720</v>
      </c>
      <c r="P261" s="17">
        <f t="shared" si="23"/>
        <v>72720</v>
      </c>
      <c r="Q261" s="19">
        <v>581</v>
      </c>
      <c r="R261" s="20"/>
    </row>
    <row r="262" spans="1:18" x14ac:dyDescent="0.25">
      <c r="A262" s="23" t="s">
        <v>20</v>
      </c>
      <c r="B262" s="24">
        <v>46147.352777777778</v>
      </c>
      <c r="C262" s="18">
        <v>202619</v>
      </c>
      <c r="D262" s="15">
        <v>26210</v>
      </c>
      <c r="E262" s="23">
        <v>3</v>
      </c>
      <c r="F262" s="23" t="s">
        <v>44</v>
      </c>
      <c r="G262" s="23">
        <v>7</v>
      </c>
      <c r="H262" s="23">
        <v>56</v>
      </c>
      <c r="I262" s="23">
        <v>1</v>
      </c>
      <c r="J262" s="23" t="s">
        <v>43</v>
      </c>
      <c r="K262" s="23">
        <v>30572</v>
      </c>
      <c r="L262" s="23">
        <v>0.42</v>
      </c>
      <c r="M262" s="17">
        <v>17</v>
      </c>
      <c r="N262" s="17">
        <f t="shared" si="24"/>
        <v>519724</v>
      </c>
      <c r="O262" s="17">
        <f t="shared" si="22"/>
        <v>5197.24</v>
      </c>
      <c r="P262" s="17">
        <f t="shared" si="23"/>
        <v>524921.24</v>
      </c>
      <c r="Q262" s="15">
        <v>567</v>
      </c>
      <c r="R262" s="20"/>
    </row>
    <row r="263" spans="1:18" x14ac:dyDescent="0.25">
      <c r="A263" s="25" t="s">
        <v>20</v>
      </c>
      <c r="B263" s="26">
        <v>46147.345833333333</v>
      </c>
      <c r="C263" s="18">
        <v>202619</v>
      </c>
      <c r="D263" s="15">
        <v>25206</v>
      </c>
      <c r="E263" s="25">
        <v>1</v>
      </c>
      <c r="F263" s="25" t="s">
        <v>49</v>
      </c>
      <c r="G263" s="25">
        <v>5</v>
      </c>
      <c r="H263" s="25">
        <v>40</v>
      </c>
      <c r="I263" s="25">
        <v>1</v>
      </c>
      <c r="J263" s="25" t="s">
        <v>27</v>
      </c>
      <c r="K263" s="25">
        <v>40</v>
      </c>
      <c r="L263" s="25">
        <v>0.09</v>
      </c>
      <c r="M263" s="17">
        <v>1800</v>
      </c>
      <c r="N263" s="17">
        <f t="shared" si="24"/>
        <v>72000</v>
      </c>
      <c r="O263" s="17">
        <f t="shared" si="22"/>
        <v>720</v>
      </c>
      <c r="P263" s="17">
        <f t="shared" si="23"/>
        <v>72720</v>
      </c>
      <c r="Q263" s="15">
        <v>566</v>
      </c>
      <c r="R263" s="20"/>
    </row>
    <row r="264" spans="1:18" x14ac:dyDescent="0.25">
      <c r="A264" s="15" t="s">
        <v>20</v>
      </c>
      <c r="B264" s="16">
        <v>46148.347916666666</v>
      </c>
      <c r="C264" s="18">
        <v>202619</v>
      </c>
      <c r="D264" s="15">
        <v>26210</v>
      </c>
      <c r="E264" s="15">
        <v>1</v>
      </c>
      <c r="F264" s="15" t="s">
        <v>30</v>
      </c>
      <c r="G264" s="15">
        <v>2</v>
      </c>
      <c r="H264" s="15">
        <v>16</v>
      </c>
      <c r="I264" s="15">
        <v>1</v>
      </c>
      <c r="J264" s="18" t="s">
        <v>31</v>
      </c>
      <c r="K264" s="15">
        <v>10</v>
      </c>
      <c r="L264" s="15">
        <v>0.72</v>
      </c>
      <c r="M264" s="17">
        <v>4000</v>
      </c>
      <c r="N264" s="17">
        <f t="shared" si="24"/>
        <v>40000</v>
      </c>
      <c r="O264" s="17">
        <f t="shared" si="22"/>
        <v>400</v>
      </c>
      <c r="P264" s="17">
        <f t="shared" si="23"/>
        <v>40400</v>
      </c>
      <c r="Q264" s="19">
        <v>572</v>
      </c>
      <c r="R264" s="20"/>
    </row>
    <row r="265" spans="1:18" x14ac:dyDescent="0.25">
      <c r="A265" s="18" t="s">
        <v>20</v>
      </c>
      <c r="B265" s="22">
        <v>46148.347222222219</v>
      </c>
      <c r="C265" s="18">
        <v>202619</v>
      </c>
      <c r="D265" s="15">
        <v>25206</v>
      </c>
      <c r="E265" s="18">
        <v>1</v>
      </c>
      <c r="F265" s="18" t="s">
        <v>49</v>
      </c>
      <c r="G265" s="18">
        <v>4</v>
      </c>
      <c r="H265" s="18">
        <v>32</v>
      </c>
      <c r="I265" s="18">
        <v>1</v>
      </c>
      <c r="J265" s="18" t="s">
        <v>27</v>
      </c>
      <c r="K265" s="18">
        <v>32</v>
      </c>
      <c r="L265" s="18">
        <v>0.09</v>
      </c>
      <c r="M265" s="17">
        <v>1800</v>
      </c>
      <c r="N265" s="17">
        <f t="shared" si="24"/>
        <v>57600</v>
      </c>
      <c r="O265" s="17">
        <f t="shared" si="22"/>
        <v>576</v>
      </c>
      <c r="P265" s="17">
        <f t="shared" si="23"/>
        <v>58176</v>
      </c>
      <c r="Q265" s="19">
        <v>566</v>
      </c>
      <c r="R265" s="20"/>
    </row>
    <row r="266" spans="1:18" x14ac:dyDescent="0.25">
      <c r="A266" s="15" t="s">
        <v>20</v>
      </c>
      <c r="B266" s="16">
        <v>46148.345833333333</v>
      </c>
      <c r="C266" s="18">
        <v>202619</v>
      </c>
      <c r="D266" s="15">
        <v>25206</v>
      </c>
      <c r="E266" s="15">
        <v>2</v>
      </c>
      <c r="F266" s="15" t="s">
        <v>29</v>
      </c>
      <c r="G266" s="15">
        <v>2</v>
      </c>
      <c r="H266" s="15">
        <v>16</v>
      </c>
      <c r="I266" s="15">
        <v>1</v>
      </c>
      <c r="J266" s="15" t="s">
        <v>43</v>
      </c>
      <c r="K266" s="15">
        <v>16</v>
      </c>
      <c r="L266" s="15">
        <v>0.15</v>
      </c>
      <c r="M266" s="17">
        <v>1800</v>
      </c>
      <c r="N266" s="17">
        <f t="shared" si="24"/>
        <v>28800</v>
      </c>
      <c r="O266" s="17">
        <f t="shared" si="22"/>
        <v>288</v>
      </c>
      <c r="P266" s="17">
        <f t="shared" si="23"/>
        <v>29088</v>
      </c>
      <c r="Q266" s="19">
        <v>583</v>
      </c>
      <c r="R266" s="20"/>
    </row>
    <row r="267" spans="1:18" x14ac:dyDescent="0.25">
      <c r="A267" s="18" t="s">
        <v>20</v>
      </c>
      <c r="B267" s="22">
        <v>46148.343055555553</v>
      </c>
      <c r="C267" s="18">
        <v>202619</v>
      </c>
      <c r="D267" s="15">
        <v>26210</v>
      </c>
      <c r="E267" s="18">
        <v>3</v>
      </c>
      <c r="F267" s="18" t="s">
        <v>44</v>
      </c>
      <c r="G267" s="18">
        <v>7</v>
      </c>
      <c r="H267" s="18">
        <v>56</v>
      </c>
      <c r="I267" s="18">
        <v>1</v>
      </c>
      <c r="J267" s="18" t="s">
        <v>43</v>
      </c>
      <c r="K267" s="18">
        <v>30091</v>
      </c>
      <c r="L267" s="18">
        <v>0.41</v>
      </c>
      <c r="M267" s="17">
        <v>17</v>
      </c>
      <c r="N267" s="17">
        <f t="shared" si="24"/>
        <v>511547</v>
      </c>
      <c r="O267" s="17">
        <f t="shared" si="22"/>
        <v>5115.47</v>
      </c>
      <c r="P267" s="17">
        <f t="shared" si="23"/>
        <v>516662.47</v>
      </c>
      <c r="Q267" s="19">
        <v>567</v>
      </c>
      <c r="R267" s="20"/>
    </row>
    <row r="268" spans="1:18" x14ac:dyDescent="0.25">
      <c r="A268" s="15" t="s">
        <v>20</v>
      </c>
      <c r="B268" s="16">
        <v>46149.479166666664</v>
      </c>
      <c r="C268" s="18">
        <v>202619</v>
      </c>
      <c r="D268" s="15">
        <v>25206</v>
      </c>
      <c r="E268" s="15">
        <v>2</v>
      </c>
      <c r="F268" s="15" t="s">
        <v>29</v>
      </c>
      <c r="G268" s="15">
        <v>5</v>
      </c>
      <c r="H268" s="15">
        <v>40</v>
      </c>
      <c r="I268" s="15">
        <v>1</v>
      </c>
      <c r="J268" s="15" t="s">
        <v>27</v>
      </c>
      <c r="K268" s="15">
        <v>40</v>
      </c>
      <c r="L268" s="15">
        <v>0.22</v>
      </c>
      <c r="M268" s="17">
        <v>1800</v>
      </c>
      <c r="N268" s="17">
        <f t="shared" si="24"/>
        <v>72000</v>
      </c>
      <c r="O268" s="17">
        <f t="shared" si="22"/>
        <v>720</v>
      </c>
      <c r="P268" s="17">
        <f t="shared" si="23"/>
        <v>72720</v>
      </c>
      <c r="Q268" s="15">
        <v>583</v>
      </c>
      <c r="R268" s="20"/>
    </row>
    <row r="269" spans="1:18" x14ac:dyDescent="0.25">
      <c r="A269" s="18" t="s">
        <v>20</v>
      </c>
      <c r="B269" s="22">
        <v>46149.477083333331</v>
      </c>
      <c r="C269" s="18">
        <v>202619</v>
      </c>
      <c r="D269" s="15">
        <v>26210</v>
      </c>
      <c r="E269" s="18">
        <v>3</v>
      </c>
      <c r="F269" s="18" t="s">
        <v>44</v>
      </c>
      <c r="G269" s="18">
        <v>6</v>
      </c>
      <c r="H269" s="18">
        <v>48</v>
      </c>
      <c r="I269" s="18">
        <v>1</v>
      </c>
      <c r="J269" s="18" t="s">
        <v>43</v>
      </c>
      <c r="K269" s="18">
        <v>30047</v>
      </c>
      <c r="L269" s="18">
        <v>0.42</v>
      </c>
      <c r="M269" s="17">
        <v>17</v>
      </c>
      <c r="N269" s="17">
        <f t="shared" si="24"/>
        <v>510799</v>
      </c>
      <c r="O269" s="17">
        <f t="shared" si="22"/>
        <v>5107.99</v>
      </c>
      <c r="P269" s="17">
        <f t="shared" si="23"/>
        <v>515906.99</v>
      </c>
      <c r="Q269" s="15">
        <v>567</v>
      </c>
      <c r="R269" s="20"/>
    </row>
    <row r="270" spans="1:18" x14ac:dyDescent="0.25">
      <c r="A270" s="18" t="s">
        <v>20</v>
      </c>
      <c r="B270" s="22">
        <v>46150.473611111112</v>
      </c>
      <c r="C270" s="18">
        <v>202619</v>
      </c>
      <c r="D270" s="15">
        <v>26210</v>
      </c>
      <c r="E270" s="18">
        <v>4</v>
      </c>
      <c r="F270" s="18" t="s">
        <v>22</v>
      </c>
      <c r="G270" s="18">
        <v>1</v>
      </c>
      <c r="H270" s="18">
        <v>8</v>
      </c>
      <c r="I270" s="18">
        <v>1</v>
      </c>
      <c r="J270" s="18" t="s">
        <v>43</v>
      </c>
      <c r="K270" s="18">
        <v>2</v>
      </c>
      <c r="L270" s="18">
        <v>0.01</v>
      </c>
      <c r="M270" s="17">
        <v>60000</v>
      </c>
      <c r="N270" s="17">
        <f t="shared" si="24"/>
        <v>120000</v>
      </c>
      <c r="O270" s="17">
        <f t="shared" si="22"/>
        <v>1200</v>
      </c>
      <c r="P270" s="17">
        <f t="shared" si="23"/>
        <v>121200</v>
      </c>
      <c r="Q270" s="15">
        <v>571</v>
      </c>
      <c r="R270" s="20"/>
    </row>
    <row r="271" spans="1:18" x14ac:dyDescent="0.25">
      <c r="A271" s="15" t="s">
        <v>20</v>
      </c>
      <c r="B271" s="16">
        <v>46150.472222222219</v>
      </c>
      <c r="C271" s="18">
        <v>202619</v>
      </c>
      <c r="D271" s="15">
        <v>25206</v>
      </c>
      <c r="E271" s="15">
        <v>2</v>
      </c>
      <c r="F271" s="15" t="s">
        <v>29</v>
      </c>
      <c r="G271" s="15">
        <v>4</v>
      </c>
      <c r="H271" s="15">
        <v>32</v>
      </c>
      <c r="I271" s="15">
        <v>1</v>
      </c>
      <c r="J271" s="15" t="s">
        <v>27</v>
      </c>
      <c r="K271" s="15">
        <v>32</v>
      </c>
      <c r="L271" s="15">
        <v>0.18</v>
      </c>
      <c r="M271" s="17">
        <v>1800</v>
      </c>
      <c r="N271" s="17">
        <f t="shared" si="24"/>
        <v>57600</v>
      </c>
      <c r="O271" s="17">
        <f t="shared" si="22"/>
        <v>576</v>
      </c>
      <c r="P271" s="17">
        <f t="shared" si="23"/>
        <v>58176</v>
      </c>
      <c r="Q271" s="15">
        <v>583</v>
      </c>
      <c r="R271" s="20"/>
    </row>
    <row r="272" spans="1:18" x14ac:dyDescent="0.25">
      <c r="A272" s="18" t="s">
        <v>20</v>
      </c>
      <c r="B272" s="22">
        <v>46150.470138888886</v>
      </c>
      <c r="C272" s="18">
        <v>202619</v>
      </c>
      <c r="D272" s="15">
        <v>26210</v>
      </c>
      <c r="E272" s="18">
        <v>4</v>
      </c>
      <c r="F272" s="18" t="s">
        <v>44</v>
      </c>
      <c r="G272" s="18">
        <v>5</v>
      </c>
      <c r="H272" s="18">
        <v>40</v>
      </c>
      <c r="I272" s="18">
        <v>1</v>
      </c>
      <c r="J272" s="18" t="s">
        <v>43</v>
      </c>
      <c r="K272" s="18">
        <v>26147</v>
      </c>
      <c r="L272" s="18">
        <v>0.36</v>
      </c>
      <c r="M272" s="17">
        <v>17</v>
      </c>
      <c r="N272" s="17">
        <f t="shared" si="24"/>
        <v>444499</v>
      </c>
      <c r="O272" s="17">
        <f t="shared" si="22"/>
        <v>4444.99</v>
      </c>
      <c r="P272" s="17">
        <f t="shared" si="23"/>
        <v>448943.99</v>
      </c>
      <c r="Q272" s="15">
        <v>567</v>
      </c>
      <c r="R272" s="20"/>
    </row>
    <row r="273" spans="1:18" x14ac:dyDescent="0.25">
      <c r="A273" s="18" t="s">
        <v>20</v>
      </c>
      <c r="B273" s="22">
        <v>46151.48333333333</v>
      </c>
      <c r="C273" s="18">
        <v>202619</v>
      </c>
      <c r="D273" s="15">
        <v>26210</v>
      </c>
      <c r="E273" s="18">
        <v>4</v>
      </c>
      <c r="F273" s="18" t="s">
        <v>37</v>
      </c>
      <c r="G273" s="18">
        <v>2</v>
      </c>
      <c r="H273" s="18">
        <v>22</v>
      </c>
      <c r="I273" s="18">
        <v>1</v>
      </c>
      <c r="J273" s="18" t="s">
        <v>43</v>
      </c>
      <c r="K273" s="18">
        <v>20128</v>
      </c>
      <c r="L273" s="18">
        <v>0.27</v>
      </c>
      <c r="M273" s="17">
        <v>2</v>
      </c>
      <c r="N273" s="17">
        <f t="shared" si="24"/>
        <v>40256</v>
      </c>
      <c r="O273" s="17">
        <f t="shared" si="22"/>
        <v>402.56</v>
      </c>
      <c r="P273" s="17">
        <f t="shared" si="23"/>
        <v>40658.559999999998</v>
      </c>
      <c r="Q273" s="15">
        <v>563</v>
      </c>
      <c r="R273" s="20"/>
    </row>
    <row r="274" spans="1:18" x14ac:dyDescent="0.25">
      <c r="A274" s="15" t="s">
        <v>20</v>
      </c>
      <c r="B274" s="16">
        <v>46151.480555555558</v>
      </c>
      <c r="C274" s="18">
        <v>202619</v>
      </c>
      <c r="D274" s="15">
        <v>26210</v>
      </c>
      <c r="E274" s="15">
        <v>4</v>
      </c>
      <c r="F274" s="15" t="s">
        <v>22</v>
      </c>
      <c r="G274" s="15">
        <v>1</v>
      </c>
      <c r="H274" s="15">
        <v>8</v>
      </c>
      <c r="I274" s="15">
        <v>1</v>
      </c>
      <c r="J274" s="15" t="s">
        <v>43</v>
      </c>
      <c r="K274" s="15">
        <v>1</v>
      </c>
      <c r="L274" s="15">
        <v>0.02</v>
      </c>
      <c r="M274" s="17">
        <v>60000</v>
      </c>
      <c r="N274" s="17">
        <f t="shared" si="24"/>
        <v>60000</v>
      </c>
      <c r="O274" s="17">
        <f t="shared" si="22"/>
        <v>600</v>
      </c>
      <c r="P274" s="17">
        <f t="shared" si="23"/>
        <v>60600</v>
      </c>
      <c r="Q274" s="15">
        <v>571</v>
      </c>
      <c r="R274" s="20"/>
    </row>
    <row r="275" spans="1:18" x14ac:dyDescent="0.25">
      <c r="A275" s="18" t="s">
        <v>20</v>
      </c>
      <c r="B275" s="22">
        <v>46151.479166666664</v>
      </c>
      <c r="C275" s="18">
        <v>202619</v>
      </c>
      <c r="D275" s="15">
        <v>25205</v>
      </c>
      <c r="E275" s="18">
        <v>1</v>
      </c>
      <c r="F275" s="18" t="s">
        <v>29</v>
      </c>
      <c r="G275" s="18">
        <v>4</v>
      </c>
      <c r="H275" s="18">
        <v>32</v>
      </c>
      <c r="I275" s="18">
        <v>2</v>
      </c>
      <c r="J275" s="18" t="s">
        <v>27</v>
      </c>
      <c r="K275" s="18">
        <v>32</v>
      </c>
      <c r="L275" s="18">
        <v>0.21</v>
      </c>
      <c r="M275" s="17">
        <v>1800</v>
      </c>
      <c r="N275" s="17">
        <f t="shared" si="24"/>
        <v>57600</v>
      </c>
      <c r="O275" s="17">
        <f t="shared" si="22"/>
        <v>576</v>
      </c>
      <c r="P275" s="17">
        <f t="shared" si="23"/>
        <v>58176</v>
      </c>
      <c r="Q275" s="15">
        <v>582</v>
      </c>
      <c r="R275" s="20"/>
    </row>
    <row r="276" spans="1:18" x14ac:dyDescent="0.25">
      <c r="A276" s="15" t="s">
        <v>20</v>
      </c>
      <c r="B276" s="16">
        <v>46151.477083333331</v>
      </c>
      <c r="C276" s="18">
        <v>202619</v>
      </c>
      <c r="D276" s="15">
        <v>26210</v>
      </c>
      <c r="E276" s="15">
        <v>4</v>
      </c>
      <c r="F276" s="15" t="s">
        <v>44</v>
      </c>
      <c r="G276" s="15">
        <v>5</v>
      </c>
      <c r="H276" s="15">
        <v>40</v>
      </c>
      <c r="I276" s="15">
        <v>1</v>
      </c>
      <c r="J276" s="15" t="s">
        <v>43</v>
      </c>
      <c r="K276" s="15">
        <v>18326</v>
      </c>
      <c r="L276" s="15">
        <v>0.25</v>
      </c>
      <c r="M276" s="17">
        <v>17</v>
      </c>
      <c r="N276" s="17">
        <f t="shared" si="24"/>
        <v>311542</v>
      </c>
      <c r="O276" s="17">
        <f t="shared" si="22"/>
        <v>3115.42</v>
      </c>
      <c r="P276" s="17">
        <f t="shared" si="23"/>
        <v>314657.42</v>
      </c>
      <c r="Q276" s="15">
        <v>567</v>
      </c>
      <c r="R276" s="20"/>
    </row>
    <row r="277" spans="1:18" x14ac:dyDescent="0.25">
      <c r="A277" s="18" t="s">
        <v>20</v>
      </c>
      <c r="B277" s="22">
        <v>46153.481944444444</v>
      </c>
      <c r="C277" s="18">
        <v>202620</v>
      </c>
      <c r="D277" s="15">
        <v>26210</v>
      </c>
      <c r="E277" s="18">
        <v>1</v>
      </c>
      <c r="F277" s="18" t="s">
        <v>30</v>
      </c>
      <c r="G277" s="18">
        <v>2</v>
      </c>
      <c r="H277" s="18">
        <v>16</v>
      </c>
      <c r="I277" s="18">
        <v>1</v>
      </c>
      <c r="J277" s="18" t="s">
        <v>31</v>
      </c>
      <c r="K277" s="18">
        <v>10</v>
      </c>
      <c r="L277" s="18">
        <v>0.71</v>
      </c>
      <c r="M277" s="17">
        <v>4000</v>
      </c>
      <c r="N277" s="17">
        <f t="shared" si="24"/>
        <v>40000</v>
      </c>
      <c r="O277" s="17">
        <f t="shared" si="22"/>
        <v>400</v>
      </c>
      <c r="P277" s="17">
        <f t="shared" si="23"/>
        <v>40400</v>
      </c>
      <c r="Q277" s="19">
        <v>575</v>
      </c>
      <c r="R277" s="20"/>
    </row>
    <row r="278" spans="1:18" x14ac:dyDescent="0.25">
      <c r="A278" s="15" t="s">
        <v>20</v>
      </c>
      <c r="B278" s="16">
        <v>46153.479861111111</v>
      </c>
      <c r="C278" s="18">
        <v>202620</v>
      </c>
      <c r="D278" s="15">
        <v>25205</v>
      </c>
      <c r="E278" s="15">
        <v>1</v>
      </c>
      <c r="F278" s="15" t="s">
        <v>29</v>
      </c>
      <c r="G278" s="15">
        <v>3</v>
      </c>
      <c r="H278" s="15">
        <v>24</v>
      </c>
      <c r="I278" s="15">
        <v>1</v>
      </c>
      <c r="J278" s="15" t="s">
        <v>27</v>
      </c>
      <c r="K278" s="15">
        <v>24</v>
      </c>
      <c r="L278" s="15">
        <v>0.22</v>
      </c>
      <c r="M278" s="17">
        <v>1800</v>
      </c>
      <c r="N278" s="17">
        <f t="shared" si="24"/>
        <v>43200</v>
      </c>
      <c r="O278" s="17">
        <f t="shared" si="22"/>
        <v>432</v>
      </c>
      <c r="P278" s="17">
        <f t="shared" si="23"/>
        <v>43632</v>
      </c>
      <c r="Q278" s="19">
        <v>576</v>
      </c>
      <c r="R278" s="20"/>
    </row>
    <row r="279" spans="1:18" x14ac:dyDescent="0.25">
      <c r="A279" s="18" t="s">
        <v>20</v>
      </c>
      <c r="B279" s="22">
        <v>46153.477083333331</v>
      </c>
      <c r="C279" s="18">
        <v>202620</v>
      </c>
      <c r="D279" s="15">
        <v>26210</v>
      </c>
      <c r="E279" s="18">
        <v>4</v>
      </c>
      <c r="F279" s="18" t="s">
        <v>44</v>
      </c>
      <c r="G279" s="18">
        <v>6</v>
      </c>
      <c r="H279" s="18">
        <v>48</v>
      </c>
      <c r="I279" s="18">
        <v>1</v>
      </c>
      <c r="J279" s="18" t="s">
        <v>43</v>
      </c>
      <c r="K279" s="18">
        <v>28253</v>
      </c>
      <c r="L279" s="18">
        <v>0.39</v>
      </c>
      <c r="M279" s="17">
        <v>17</v>
      </c>
      <c r="N279" s="17">
        <f t="shared" si="24"/>
        <v>480301</v>
      </c>
      <c r="O279" s="17">
        <f t="shared" si="22"/>
        <v>4803.01</v>
      </c>
      <c r="P279" s="17">
        <f t="shared" si="23"/>
        <v>485104.01</v>
      </c>
      <c r="Q279" s="19">
        <v>577</v>
      </c>
      <c r="R279" s="20"/>
    </row>
    <row r="280" spans="1:18" x14ac:dyDescent="0.25">
      <c r="A280" s="15" t="s">
        <v>20</v>
      </c>
      <c r="B280" s="16">
        <v>46154.388194444444</v>
      </c>
      <c r="C280" s="18">
        <v>202620</v>
      </c>
      <c r="D280" s="15">
        <v>26210</v>
      </c>
      <c r="E280" s="15">
        <v>1</v>
      </c>
      <c r="F280" s="15" t="s">
        <v>30</v>
      </c>
      <c r="G280" s="15">
        <v>2</v>
      </c>
      <c r="H280" s="15">
        <v>16</v>
      </c>
      <c r="I280" s="15">
        <v>1</v>
      </c>
      <c r="J280" s="18" t="s">
        <v>31</v>
      </c>
      <c r="K280" s="15">
        <v>10</v>
      </c>
      <c r="L280" s="15">
        <v>0.72</v>
      </c>
      <c r="M280" s="17">
        <v>4000</v>
      </c>
      <c r="N280" s="17">
        <f t="shared" si="24"/>
        <v>40000</v>
      </c>
      <c r="O280" s="17">
        <f t="shared" si="22"/>
        <v>400</v>
      </c>
      <c r="P280" s="17">
        <f t="shared" si="23"/>
        <v>40400</v>
      </c>
      <c r="Q280" s="19">
        <v>575</v>
      </c>
      <c r="R280" s="20"/>
    </row>
    <row r="281" spans="1:18" x14ac:dyDescent="0.25">
      <c r="A281" s="18" t="s">
        <v>20</v>
      </c>
      <c r="B281" s="22">
        <v>46154.385416666664</v>
      </c>
      <c r="C281" s="18">
        <v>202620</v>
      </c>
      <c r="D281" s="15">
        <v>25205</v>
      </c>
      <c r="E281" s="18">
        <v>1</v>
      </c>
      <c r="F281" s="18" t="s">
        <v>29</v>
      </c>
      <c r="G281" s="18">
        <v>5</v>
      </c>
      <c r="H281" s="18">
        <v>40</v>
      </c>
      <c r="I281" s="18">
        <v>1</v>
      </c>
      <c r="J281" s="18" t="s">
        <v>27</v>
      </c>
      <c r="K281" s="18">
        <v>40</v>
      </c>
      <c r="L281" s="18">
        <v>0.73</v>
      </c>
      <c r="M281" s="17">
        <v>1800</v>
      </c>
      <c r="N281" s="17">
        <f t="shared" si="24"/>
        <v>72000</v>
      </c>
      <c r="O281" s="17">
        <f t="shared" si="22"/>
        <v>720</v>
      </c>
      <c r="P281" s="17">
        <f t="shared" si="23"/>
        <v>72720</v>
      </c>
      <c r="Q281" s="19">
        <v>576</v>
      </c>
      <c r="R281" s="20"/>
    </row>
    <row r="282" spans="1:18" x14ac:dyDescent="0.25">
      <c r="A282" s="15" t="s">
        <v>20</v>
      </c>
      <c r="B282" s="16">
        <v>46154.384027777778</v>
      </c>
      <c r="C282" s="18">
        <v>202620</v>
      </c>
      <c r="D282" s="15">
        <v>26210</v>
      </c>
      <c r="E282" s="15">
        <v>4</v>
      </c>
      <c r="F282" s="15" t="s">
        <v>44</v>
      </c>
      <c r="G282" s="15">
        <v>6</v>
      </c>
      <c r="H282" s="15">
        <v>48</v>
      </c>
      <c r="I282" s="15">
        <v>1</v>
      </c>
      <c r="J282" s="15" t="s">
        <v>43</v>
      </c>
      <c r="K282" s="15">
        <v>29652</v>
      </c>
      <c r="L282" s="15">
        <v>0.41</v>
      </c>
      <c r="M282" s="17">
        <v>17</v>
      </c>
      <c r="N282" s="17">
        <f t="shared" si="24"/>
        <v>504084</v>
      </c>
      <c r="O282" s="17">
        <f t="shared" si="22"/>
        <v>5040.84</v>
      </c>
      <c r="P282" s="17">
        <f t="shared" si="23"/>
        <v>509124.84</v>
      </c>
      <c r="Q282" s="19">
        <v>577</v>
      </c>
      <c r="R282" s="20"/>
    </row>
    <row r="283" spans="1:18" x14ac:dyDescent="0.25">
      <c r="A283" s="18" t="s">
        <v>20</v>
      </c>
      <c r="B283" s="22">
        <v>46155.45416666667</v>
      </c>
      <c r="C283" s="18">
        <v>202620</v>
      </c>
      <c r="D283" s="15">
        <v>26210</v>
      </c>
      <c r="E283" s="18">
        <v>2</v>
      </c>
      <c r="F283" s="18" t="s">
        <v>30</v>
      </c>
      <c r="G283" s="18">
        <v>2</v>
      </c>
      <c r="H283" s="18">
        <v>16</v>
      </c>
      <c r="I283" s="18">
        <v>1</v>
      </c>
      <c r="J283" s="18" t="s">
        <v>31</v>
      </c>
      <c r="K283" s="18">
        <v>12</v>
      </c>
      <c r="L283" s="18">
        <v>0.82</v>
      </c>
      <c r="M283" s="17">
        <v>4000</v>
      </c>
      <c r="N283" s="17">
        <f t="shared" si="24"/>
        <v>48000</v>
      </c>
      <c r="O283" s="17">
        <f t="shared" si="22"/>
        <v>480</v>
      </c>
      <c r="P283" s="17">
        <f t="shared" si="23"/>
        <v>48480</v>
      </c>
      <c r="Q283" s="19">
        <v>575</v>
      </c>
      <c r="R283" s="20"/>
    </row>
    <row r="284" spans="1:18" x14ac:dyDescent="0.25">
      <c r="A284" s="15" t="s">
        <v>20</v>
      </c>
      <c r="B284" s="16">
        <v>46155.45208333333</v>
      </c>
      <c r="C284" s="18">
        <v>202620</v>
      </c>
      <c r="D284" s="15">
        <v>25205</v>
      </c>
      <c r="E284" s="15">
        <v>1</v>
      </c>
      <c r="F284" s="15" t="s">
        <v>29</v>
      </c>
      <c r="G284" s="15">
        <v>5</v>
      </c>
      <c r="H284" s="15">
        <v>40</v>
      </c>
      <c r="I284" s="15">
        <v>1</v>
      </c>
      <c r="J284" s="15" t="s">
        <v>27</v>
      </c>
      <c r="K284" s="15">
        <v>40</v>
      </c>
      <c r="L284" s="15">
        <v>0.74</v>
      </c>
      <c r="M284" s="17">
        <v>1800</v>
      </c>
      <c r="N284" s="17">
        <f t="shared" si="24"/>
        <v>72000</v>
      </c>
      <c r="O284" s="17">
        <f t="shared" si="22"/>
        <v>720</v>
      </c>
      <c r="P284" s="17">
        <f t="shared" si="23"/>
        <v>72720</v>
      </c>
      <c r="Q284" s="19">
        <v>576</v>
      </c>
      <c r="R284" s="20"/>
    </row>
    <row r="285" spans="1:18" x14ac:dyDescent="0.25">
      <c r="A285" s="18" t="s">
        <v>20</v>
      </c>
      <c r="B285" s="22">
        <v>46155.45</v>
      </c>
      <c r="C285" s="18">
        <v>202620</v>
      </c>
      <c r="D285" s="15">
        <v>26210</v>
      </c>
      <c r="E285" s="18">
        <v>4</v>
      </c>
      <c r="F285" s="18" t="s">
        <v>44</v>
      </c>
      <c r="G285" s="18">
        <v>7</v>
      </c>
      <c r="H285" s="18">
        <v>56</v>
      </c>
      <c r="I285" s="18">
        <v>1</v>
      </c>
      <c r="J285" s="18" t="s">
        <v>43</v>
      </c>
      <c r="K285" s="18">
        <v>29332</v>
      </c>
      <c r="L285" s="18">
        <v>0.4</v>
      </c>
      <c r="M285" s="17">
        <v>17</v>
      </c>
      <c r="N285" s="17">
        <f t="shared" si="24"/>
        <v>498644</v>
      </c>
      <c r="O285" s="17">
        <f t="shared" si="22"/>
        <v>4986.4400000000005</v>
      </c>
      <c r="P285" s="17">
        <f t="shared" si="23"/>
        <v>503630.44</v>
      </c>
      <c r="Q285" s="19">
        <v>577</v>
      </c>
      <c r="R285" s="20"/>
    </row>
    <row r="286" spans="1:18" x14ac:dyDescent="0.25">
      <c r="A286" s="18" t="s">
        <v>20</v>
      </c>
      <c r="B286" s="22">
        <v>46156.536805555559</v>
      </c>
      <c r="C286" s="18">
        <v>202620</v>
      </c>
      <c r="D286" s="15">
        <v>26210</v>
      </c>
      <c r="E286" s="18">
        <v>4</v>
      </c>
      <c r="F286" s="18" t="s">
        <v>37</v>
      </c>
      <c r="G286" s="18">
        <v>2</v>
      </c>
      <c r="H286" s="18">
        <v>16</v>
      </c>
      <c r="I286" s="18">
        <v>1</v>
      </c>
      <c r="J286" s="18" t="s">
        <v>43</v>
      </c>
      <c r="K286" s="18">
        <v>10996</v>
      </c>
      <c r="L286" s="18">
        <v>0.15</v>
      </c>
      <c r="M286" s="17">
        <v>2</v>
      </c>
      <c r="N286" s="17">
        <f t="shared" si="24"/>
        <v>21992</v>
      </c>
      <c r="O286" s="17">
        <f t="shared" si="22"/>
        <v>219.92000000000002</v>
      </c>
      <c r="P286" s="17">
        <f t="shared" si="23"/>
        <v>22211.919999999998</v>
      </c>
      <c r="Q286" s="19">
        <v>579</v>
      </c>
      <c r="R286" s="20"/>
    </row>
    <row r="287" spans="1:18" x14ac:dyDescent="0.25">
      <c r="A287" s="15" t="s">
        <v>20</v>
      </c>
      <c r="B287" s="16">
        <v>46156.535416666666</v>
      </c>
      <c r="C287" s="18">
        <v>202620</v>
      </c>
      <c r="D287" s="15">
        <v>26210</v>
      </c>
      <c r="E287" s="15">
        <v>2</v>
      </c>
      <c r="F287" s="15" t="s">
        <v>30</v>
      </c>
      <c r="G287" s="15">
        <v>2</v>
      </c>
      <c r="H287" s="15">
        <v>16</v>
      </c>
      <c r="I287" s="15">
        <v>1</v>
      </c>
      <c r="J287" s="18" t="s">
        <v>31</v>
      </c>
      <c r="K287" s="15">
        <v>12</v>
      </c>
      <c r="L287" s="15">
        <v>0.82</v>
      </c>
      <c r="M287" s="17">
        <v>4000</v>
      </c>
      <c r="N287" s="17">
        <f t="shared" si="24"/>
        <v>48000</v>
      </c>
      <c r="O287" s="17">
        <f t="shared" si="22"/>
        <v>480</v>
      </c>
      <c r="P287" s="17">
        <f t="shared" si="23"/>
        <v>48480</v>
      </c>
      <c r="Q287" s="19">
        <v>575</v>
      </c>
      <c r="R287" s="20"/>
    </row>
    <row r="288" spans="1:18" x14ac:dyDescent="0.25">
      <c r="A288" s="18" t="s">
        <v>20</v>
      </c>
      <c r="B288" s="22">
        <v>46156.533333333333</v>
      </c>
      <c r="C288" s="18">
        <v>202620</v>
      </c>
      <c r="D288" s="15">
        <v>25205</v>
      </c>
      <c r="E288" s="18">
        <v>2</v>
      </c>
      <c r="F288" s="18" t="s">
        <v>29</v>
      </c>
      <c r="G288" s="18">
        <v>5</v>
      </c>
      <c r="H288" s="18">
        <v>40</v>
      </c>
      <c r="I288" s="18">
        <v>2</v>
      </c>
      <c r="J288" s="18" t="s">
        <v>27</v>
      </c>
      <c r="K288" s="18">
        <v>40</v>
      </c>
      <c r="L288" s="18">
        <v>0.43</v>
      </c>
      <c r="M288" s="17">
        <v>1800</v>
      </c>
      <c r="N288" s="17">
        <f t="shared" si="24"/>
        <v>72000</v>
      </c>
      <c r="O288" s="17">
        <f t="shared" si="22"/>
        <v>720</v>
      </c>
      <c r="P288" s="17">
        <f t="shared" si="23"/>
        <v>72720</v>
      </c>
      <c r="Q288" s="15">
        <v>576</v>
      </c>
      <c r="R288" s="20"/>
    </row>
    <row r="289" spans="1:18" x14ac:dyDescent="0.25">
      <c r="A289" s="18" t="s">
        <v>20</v>
      </c>
      <c r="B289" s="22">
        <v>46156.531944444447</v>
      </c>
      <c r="C289" s="18">
        <v>202620</v>
      </c>
      <c r="D289" s="15">
        <v>26210</v>
      </c>
      <c r="E289" s="18">
        <v>4</v>
      </c>
      <c r="F289" s="18" t="s">
        <v>44</v>
      </c>
      <c r="G289" s="18">
        <v>6</v>
      </c>
      <c r="H289" s="18">
        <v>48</v>
      </c>
      <c r="I289" s="18">
        <v>1</v>
      </c>
      <c r="J289" s="18" t="s">
        <v>43</v>
      </c>
      <c r="K289" s="18">
        <v>29404</v>
      </c>
      <c r="L289" s="18">
        <v>0.41</v>
      </c>
      <c r="M289" s="17">
        <v>17</v>
      </c>
      <c r="N289" s="17">
        <f t="shared" si="24"/>
        <v>499868</v>
      </c>
      <c r="O289" s="17">
        <f t="shared" si="22"/>
        <v>4998.68</v>
      </c>
      <c r="P289" s="17">
        <f t="shared" si="23"/>
        <v>504866.68</v>
      </c>
      <c r="Q289" s="15">
        <v>577</v>
      </c>
      <c r="R289" s="20"/>
    </row>
    <row r="290" spans="1:18" x14ac:dyDescent="0.25">
      <c r="A290" s="18" t="s">
        <v>20</v>
      </c>
      <c r="B290" s="22">
        <v>46157.385416666664</v>
      </c>
      <c r="C290" s="18">
        <v>202620</v>
      </c>
      <c r="D290" s="15">
        <v>26210</v>
      </c>
      <c r="E290" s="18">
        <v>4</v>
      </c>
      <c r="F290" s="18" t="s">
        <v>22</v>
      </c>
      <c r="G290" s="18">
        <v>1</v>
      </c>
      <c r="H290" s="18">
        <v>8</v>
      </c>
      <c r="I290" s="18">
        <v>1</v>
      </c>
      <c r="J290" s="18" t="s">
        <v>43</v>
      </c>
      <c r="K290" s="18">
        <v>2</v>
      </c>
      <c r="L290" s="18">
        <v>0.5</v>
      </c>
      <c r="M290" s="17">
        <v>60000</v>
      </c>
      <c r="N290" s="17">
        <f t="shared" si="24"/>
        <v>120000</v>
      </c>
      <c r="O290" s="17">
        <f t="shared" si="22"/>
        <v>1200</v>
      </c>
      <c r="P290" s="17">
        <f t="shared" si="23"/>
        <v>121200</v>
      </c>
      <c r="Q290" s="19">
        <v>578</v>
      </c>
      <c r="R290" s="20"/>
    </row>
    <row r="291" spans="1:18" x14ac:dyDescent="0.25">
      <c r="A291" s="15" t="s">
        <v>20</v>
      </c>
      <c r="B291" s="16">
        <v>46157.382638888892</v>
      </c>
      <c r="C291" s="18">
        <v>202620</v>
      </c>
      <c r="D291" s="15">
        <v>26210</v>
      </c>
      <c r="E291" s="15">
        <v>2</v>
      </c>
      <c r="F291" s="15" t="s">
        <v>30</v>
      </c>
      <c r="G291" s="15">
        <v>2</v>
      </c>
      <c r="H291" s="15">
        <v>16</v>
      </c>
      <c r="I291" s="15">
        <v>1</v>
      </c>
      <c r="J291" s="18" t="s">
        <v>31</v>
      </c>
      <c r="K291" s="15">
        <v>12</v>
      </c>
      <c r="L291" s="15">
        <v>0.85</v>
      </c>
      <c r="M291" s="17">
        <v>4000</v>
      </c>
      <c r="N291" s="17">
        <f t="shared" si="24"/>
        <v>48000</v>
      </c>
      <c r="O291" s="17">
        <f t="shared" si="22"/>
        <v>480</v>
      </c>
      <c r="P291" s="17">
        <f t="shared" si="23"/>
        <v>48480</v>
      </c>
      <c r="Q291" s="19">
        <v>575</v>
      </c>
      <c r="R291" s="20"/>
    </row>
    <row r="292" spans="1:18" x14ac:dyDescent="0.25">
      <c r="A292" s="18" t="s">
        <v>20</v>
      </c>
      <c r="B292" s="22">
        <v>46157.381249999999</v>
      </c>
      <c r="C292" s="18">
        <v>202620</v>
      </c>
      <c r="D292" s="15">
        <v>25205</v>
      </c>
      <c r="E292" s="18">
        <v>2</v>
      </c>
      <c r="F292" s="18" t="s">
        <v>29</v>
      </c>
      <c r="G292" s="18">
        <v>5</v>
      </c>
      <c r="H292" s="18">
        <v>40</v>
      </c>
      <c r="I292" s="18">
        <v>2</v>
      </c>
      <c r="J292" s="18" t="s">
        <v>27</v>
      </c>
      <c r="K292" s="18">
        <v>40</v>
      </c>
      <c r="L292" s="18">
        <v>0.2</v>
      </c>
      <c r="M292" s="17">
        <v>1800</v>
      </c>
      <c r="N292" s="17">
        <f t="shared" si="24"/>
        <v>72000</v>
      </c>
      <c r="O292" s="17">
        <f t="shared" si="22"/>
        <v>720</v>
      </c>
      <c r="P292" s="17">
        <f t="shared" si="23"/>
        <v>72720</v>
      </c>
      <c r="Q292" s="19">
        <v>576</v>
      </c>
      <c r="R292" s="20"/>
    </row>
    <row r="293" spans="1:18" x14ac:dyDescent="0.25">
      <c r="A293" s="15" t="s">
        <v>20</v>
      </c>
      <c r="B293" s="16">
        <v>46157.379861111112</v>
      </c>
      <c r="C293" s="18">
        <v>202620</v>
      </c>
      <c r="D293" s="15">
        <v>26210</v>
      </c>
      <c r="E293" s="15">
        <v>4</v>
      </c>
      <c r="F293" s="15" t="s">
        <v>44</v>
      </c>
      <c r="G293" s="15">
        <v>7</v>
      </c>
      <c r="H293" s="15">
        <v>56</v>
      </c>
      <c r="I293" s="15">
        <v>1</v>
      </c>
      <c r="J293" s="15" t="s">
        <v>43</v>
      </c>
      <c r="K293" s="15">
        <v>30212</v>
      </c>
      <c r="L293" s="15">
        <v>0.41</v>
      </c>
      <c r="M293" s="17">
        <v>17</v>
      </c>
      <c r="N293" s="17">
        <f t="shared" si="24"/>
        <v>513604</v>
      </c>
      <c r="O293" s="17">
        <f t="shared" si="22"/>
        <v>5136.04</v>
      </c>
      <c r="P293" s="17">
        <f t="shared" si="23"/>
        <v>518740.04</v>
      </c>
      <c r="Q293" s="19">
        <v>577</v>
      </c>
      <c r="R293" s="20"/>
    </row>
    <row r="294" spans="1:18" x14ac:dyDescent="0.25">
      <c r="A294" s="18" t="s">
        <v>20</v>
      </c>
      <c r="B294" s="22">
        <v>46158.381944444445</v>
      </c>
      <c r="C294" s="18">
        <v>202620</v>
      </c>
      <c r="D294" s="15">
        <v>26210</v>
      </c>
      <c r="E294" s="18">
        <v>4</v>
      </c>
      <c r="F294" s="18" t="s">
        <v>22</v>
      </c>
      <c r="G294" s="18">
        <v>1</v>
      </c>
      <c r="H294" s="18">
        <v>8</v>
      </c>
      <c r="I294" s="18">
        <v>1</v>
      </c>
      <c r="J294" s="18" t="s">
        <v>43</v>
      </c>
      <c r="K294" s="18">
        <v>2</v>
      </c>
      <c r="L294" s="18">
        <v>0.01</v>
      </c>
      <c r="M294" s="17">
        <v>60000</v>
      </c>
      <c r="N294" s="17">
        <f t="shared" si="24"/>
        <v>120000</v>
      </c>
      <c r="O294" s="17">
        <f t="shared" si="22"/>
        <v>1200</v>
      </c>
      <c r="P294" s="17">
        <f t="shared" si="23"/>
        <v>121200</v>
      </c>
      <c r="Q294" s="15">
        <v>578</v>
      </c>
      <c r="R294" s="20"/>
    </row>
    <row r="295" spans="1:18" x14ac:dyDescent="0.25">
      <c r="A295" s="15" t="s">
        <v>20</v>
      </c>
      <c r="B295" s="16">
        <v>46158.380555555559</v>
      </c>
      <c r="C295" s="18">
        <v>202620</v>
      </c>
      <c r="D295" s="15">
        <v>26210</v>
      </c>
      <c r="E295" s="15">
        <v>2</v>
      </c>
      <c r="F295" s="15" t="s">
        <v>30</v>
      </c>
      <c r="G295" s="15">
        <v>2</v>
      </c>
      <c r="H295" s="15">
        <v>16</v>
      </c>
      <c r="I295" s="15">
        <v>1</v>
      </c>
      <c r="J295" s="18" t="s">
        <v>31</v>
      </c>
      <c r="K295" s="15">
        <v>10</v>
      </c>
      <c r="L295" s="15">
        <v>0.72</v>
      </c>
      <c r="M295" s="17">
        <v>4000</v>
      </c>
      <c r="N295" s="17">
        <f t="shared" si="24"/>
        <v>40000</v>
      </c>
      <c r="O295" s="17">
        <f t="shared" si="22"/>
        <v>400</v>
      </c>
      <c r="P295" s="17">
        <f t="shared" si="23"/>
        <v>40400</v>
      </c>
      <c r="Q295" s="15">
        <v>575</v>
      </c>
      <c r="R295" s="20"/>
    </row>
    <row r="296" spans="1:18" x14ac:dyDescent="0.25">
      <c r="A296" s="18" t="s">
        <v>20</v>
      </c>
      <c r="B296" s="22">
        <v>46158.37777777778</v>
      </c>
      <c r="C296" s="18">
        <v>202620</v>
      </c>
      <c r="D296" s="15">
        <v>25205</v>
      </c>
      <c r="E296" s="18">
        <v>2</v>
      </c>
      <c r="F296" s="18" t="s">
        <v>29</v>
      </c>
      <c r="G296" s="18">
        <v>5</v>
      </c>
      <c r="H296" s="18">
        <v>40</v>
      </c>
      <c r="I296" s="18">
        <v>2</v>
      </c>
      <c r="J296" s="18" t="s">
        <v>27</v>
      </c>
      <c r="K296" s="18">
        <v>40</v>
      </c>
      <c r="L296" s="18">
        <v>0.26</v>
      </c>
      <c r="M296" s="17">
        <v>1800</v>
      </c>
      <c r="N296" s="17">
        <f t="shared" si="24"/>
        <v>72000</v>
      </c>
      <c r="O296" s="17">
        <f t="shared" si="22"/>
        <v>720</v>
      </c>
      <c r="P296" s="17">
        <f t="shared" si="23"/>
        <v>72720</v>
      </c>
      <c r="Q296" s="15">
        <v>576</v>
      </c>
      <c r="R296" s="20"/>
    </row>
    <row r="297" spans="1:18" x14ac:dyDescent="0.25">
      <c r="A297" s="15" t="s">
        <v>20</v>
      </c>
      <c r="B297" s="16">
        <v>46158.376388888886</v>
      </c>
      <c r="C297" s="18">
        <v>202620</v>
      </c>
      <c r="D297" s="15">
        <v>26210</v>
      </c>
      <c r="E297" s="15">
        <v>4</v>
      </c>
      <c r="F297" s="15" t="s">
        <v>44</v>
      </c>
      <c r="G297" s="15">
        <v>5</v>
      </c>
      <c r="H297" s="15">
        <v>40</v>
      </c>
      <c r="I297" s="15">
        <v>1</v>
      </c>
      <c r="J297" s="15" t="s">
        <v>43</v>
      </c>
      <c r="K297" s="15">
        <v>14840</v>
      </c>
      <c r="L297" s="15">
        <v>0.2</v>
      </c>
      <c r="M297" s="17">
        <v>17</v>
      </c>
      <c r="N297" s="17">
        <f t="shared" si="24"/>
        <v>252280</v>
      </c>
      <c r="O297" s="17">
        <f t="shared" si="22"/>
        <v>2522.8000000000002</v>
      </c>
      <c r="P297" s="17">
        <f t="shared" si="23"/>
        <v>254802.8</v>
      </c>
      <c r="Q297" s="15">
        <v>577</v>
      </c>
      <c r="R297" s="20"/>
    </row>
    <row r="298" spans="1:18" x14ac:dyDescent="0.25">
      <c r="A298" s="18" t="s">
        <v>20</v>
      </c>
      <c r="B298" s="22">
        <v>46160.35833333333</v>
      </c>
      <c r="C298" s="18">
        <v>202621</v>
      </c>
      <c r="D298" s="15">
        <v>26210</v>
      </c>
      <c r="E298" s="18">
        <v>2</v>
      </c>
      <c r="F298" s="18" t="s">
        <v>30</v>
      </c>
      <c r="G298" s="18">
        <v>2</v>
      </c>
      <c r="H298" s="18">
        <v>16</v>
      </c>
      <c r="I298" s="18">
        <v>1</v>
      </c>
      <c r="J298" s="18" t="s">
        <v>31</v>
      </c>
      <c r="K298" s="18">
        <v>10</v>
      </c>
      <c r="L298" s="18">
        <v>0.7</v>
      </c>
      <c r="M298" s="17">
        <v>4000</v>
      </c>
      <c r="N298" s="17">
        <f t="shared" si="24"/>
        <v>40000</v>
      </c>
      <c r="O298" s="17">
        <f t="shared" si="22"/>
        <v>400</v>
      </c>
      <c r="P298" s="17">
        <f t="shared" si="23"/>
        <v>40400</v>
      </c>
      <c r="Q298" s="19">
        <v>585</v>
      </c>
      <c r="R298" s="20"/>
    </row>
    <row r="299" spans="1:18" x14ac:dyDescent="0.25">
      <c r="A299" s="15" t="s">
        <v>20</v>
      </c>
      <c r="B299" s="16">
        <v>46160.356249999997</v>
      </c>
      <c r="C299" s="18">
        <v>202621</v>
      </c>
      <c r="D299" s="15">
        <v>25205</v>
      </c>
      <c r="E299" s="15">
        <v>3</v>
      </c>
      <c r="F299" s="15" t="s">
        <v>29</v>
      </c>
      <c r="G299" s="15">
        <v>5</v>
      </c>
      <c r="H299" s="15">
        <v>35</v>
      </c>
      <c r="I299" s="15">
        <v>1</v>
      </c>
      <c r="J299" s="15" t="s">
        <v>27</v>
      </c>
      <c r="K299" s="15">
        <v>35</v>
      </c>
      <c r="L299" s="15">
        <v>0.23</v>
      </c>
      <c r="M299" s="17">
        <v>1800</v>
      </c>
      <c r="N299" s="17">
        <f t="shared" si="24"/>
        <v>63000</v>
      </c>
      <c r="O299" s="17">
        <f t="shared" si="22"/>
        <v>630</v>
      </c>
      <c r="P299" s="17">
        <f t="shared" si="23"/>
        <v>63630</v>
      </c>
      <c r="Q299" s="19">
        <v>584</v>
      </c>
      <c r="R299" s="20"/>
    </row>
    <row r="300" spans="1:18" x14ac:dyDescent="0.25">
      <c r="A300" s="18" t="s">
        <v>20</v>
      </c>
      <c r="B300" s="22">
        <v>46160.349305555559</v>
      </c>
      <c r="C300" s="18">
        <v>202621</v>
      </c>
      <c r="D300" s="15">
        <v>26210</v>
      </c>
      <c r="E300" s="18">
        <v>4</v>
      </c>
      <c r="F300" s="18" t="s">
        <v>44</v>
      </c>
      <c r="G300" s="18">
        <v>6</v>
      </c>
      <c r="H300" s="18">
        <v>48</v>
      </c>
      <c r="I300" s="18">
        <v>1</v>
      </c>
      <c r="J300" s="18" t="s">
        <v>43</v>
      </c>
      <c r="K300" s="18">
        <v>26444</v>
      </c>
      <c r="L300" s="18">
        <v>0.36</v>
      </c>
      <c r="M300" s="17">
        <v>17</v>
      </c>
      <c r="N300" s="17">
        <f t="shared" si="24"/>
        <v>449548</v>
      </c>
      <c r="O300" s="17">
        <f t="shared" si="22"/>
        <v>4495.4800000000005</v>
      </c>
      <c r="P300" s="17">
        <f t="shared" si="23"/>
        <v>454043.48</v>
      </c>
      <c r="Q300" s="19">
        <v>586</v>
      </c>
      <c r="R300" s="20"/>
    </row>
    <row r="301" spans="1:18" x14ac:dyDescent="0.25">
      <c r="A301" s="18" t="s">
        <v>20</v>
      </c>
      <c r="B301" s="22">
        <v>46161.388194444444</v>
      </c>
      <c r="C301" s="18">
        <v>202621</v>
      </c>
      <c r="D301" s="18">
        <v>25201</v>
      </c>
      <c r="E301" s="18">
        <v>1</v>
      </c>
      <c r="F301" s="18" t="s">
        <v>45</v>
      </c>
      <c r="G301" s="18">
        <v>2</v>
      </c>
      <c r="H301" s="18">
        <v>16</v>
      </c>
      <c r="I301" s="18">
        <v>1</v>
      </c>
      <c r="J301" s="18" t="s">
        <v>27</v>
      </c>
      <c r="K301" s="18">
        <v>16</v>
      </c>
      <c r="L301" s="18">
        <v>1.01</v>
      </c>
      <c r="M301" s="17">
        <v>1800</v>
      </c>
      <c r="N301" s="17">
        <f t="shared" si="24"/>
        <v>28800</v>
      </c>
      <c r="O301" s="17">
        <f t="shared" si="22"/>
        <v>288</v>
      </c>
      <c r="P301" s="17">
        <f t="shared" si="23"/>
        <v>29088</v>
      </c>
      <c r="Q301" s="19">
        <v>587</v>
      </c>
      <c r="R301" s="20"/>
    </row>
    <row r="302" spans="1:18" x14ac:dyDescent="0.25">
      <c r="A302" s="15" t="s">
        <v>20</v>
      </c>
      <c r="B302" s="16">
        <v>46161.386111111111</v>
      </c>
      <c r="C302" s="18">
        <v>202621</v>
      </c>
      <c r="D302" s="15">
        <v>25205</v>
      </c>
      <c r="E302" s="15">
        <v>3</v>
      </c>
      <c r="F302" s="15" t="s">
        <v>29</v>
      </c>
      <c r="G302" s="15">
        <v>5</v>
      </c>
      <c r="H302" s="15">
        <v>40</v>
      </c>
      <c r="I302" s="15">
        <v>1</v>
      </c>
      <c r="J302" s="15" t="s">
        <v>27</v>
      </c>
      <c r="K302" s="15">
        <v>40</v>
      </c>
      <c r="L302" s="15">
        <v>0.25</v>
      </c>
      <c r="M302" s="17">
        <v>1800</v>
      </c>
      <c r="N302" s="17">
        <f t="shared" si="24"/>
        <v>72000</v>
      </c>
      <c r="O302" s="17">
        <f t="shared" si="22"/>
        <v>720</v>
      </c>
      <c r="P302" s="17">
        <f t="shared" si="23"/>
        <v>72720</v>
      </c>
      <c r="Q302" s="19">
        <v>584</v>
      </c>
      <c r="R302" s="20"/>
    </row>
    <row r="303" spans="1:18" x14ac:dyDescent="0.25">
      <c r="A303" s="18" t="s">
        <v>20</v>
      </c>
      <c r="B303" s="22">
        <v>46161.384027777778</v>
      </c>
      <c r="C303" s="18">
        <v>202621</v>
      </c>
      <c r="D303" s="15">
        <v>26210</v>
      </c>
      <c r="E303" s="18">
        <v>4</v>
      </c>
      <c r="F303" s="18" t="s">
        <v>44</v>
      </c>
      <c r="G303" s="18">
        <v>6</v>
      </c>
      <c r="H303" s="18">
        <v>48</v>
      </c>
      <c r="I303" s="18">
        <v>1</v>
      </c>
      <c r="J303" s="18" t="s">
        <v>43</v>
      </c>
      <c r="K303" s="18">
        <v>29500</v>
      </c>
      <c r="L303" s="18">
        <v>0.41</v>
      </c>
      <c r="M303" s="17">
        <v>17</v>
      </c>
      <c r="N303" s="17">
        <f t="shared" si="24"/>
        <v>501500</v>
      </c>
      <c r="O303" s="17">
        <f t="shared" si="22"/>
        <v>5015</v>
      </c>
      <c r="P303" s="17">
        <f t="shared" si="23"/>
        <v>506515</v>
      </c>
      <c r="Q303" s="19">
        <v>586</v>
      </c>
      <c r="R303" s="20"/>
    </row>
    <row r="304" spans="1:18" x14ac:dyDescent="0.25">
      <c r="A304" s="18" t="s">
        <v>20</v>
      </c>
      <c r="B304" s="22">
        <v>46162.448611111111</v>
      </c>
      <c r="C304" s="18">
        <v>202621</v>
      </c>
      <c r="D304" s="18">
        <v>25201</v>
      </c>
      <c r="E304" s="18">
        <v>1</v>
      </c>
      <c r="F304" s="18" t="s">
        <v>45</v>
      </c>
      <c r="G304" s="18">
        <v>2</v>
      </c>
      <c r="H304" s="18">
        <v>18</v>
      </c>
      <c r="I304" s="18">
        <v>1</v>
      </c>
      <c r="J304" s="18" t="s">
        <v>27</v>
      </c>
      <c r="K304" s="18">
        <v>18</v>
      </c>
      <c r="L304" s="18">
        <v>3</v>
      </c>
      <c r="M304" s="17">
        <v>1800</v>
      </c>
      <c r="N304" s="17">
        <f t="shared" si="24"/>
        <v>32400</v>
      </c>
      <c r="O304" s="17">
        <f t="shared" si="22"/>
        <v>324</v>
      </c>
      <c r="P304" s="17">
        <f t="shared" si="23"/>
        <v>32724</v>
      </c>
      <c r="Q304" s="19">
        <v>587</v>
      </c>
      <c r="R304" s="20"/>
    </row>
    <row r="305" spans="1:18" x14ac:dyDescent="0.25">
      <c r="A305" s="15" t="s">
        <v>20</v>
      </c>
      <c r="B305" s="16">
        <v>46162.434027777781</v>
      </c>
      <c r="C305" s="18">
        <v>202621</v>
      </c>
      <c r="D305" s="15">
        <v>26210</v>
      </c>
      <c r="E305" s="15">
        <v>2</v>
      </c>
      <c r="F305" s="15" t="s">
        <v>30</v>
      </c>
      <c r="G305" s="15">
        <v>2</v>
      </c>
      <c r="H305" s="15">
        <v>16</v>
      </c>
      <c r="I305" s="15">
        <v>1</v>
      </c>
      <c r="J305" s="18" t="s">
        <v>31</v>
      </c>
      <c r="K305" s="15">
        <v>10</v>
      </c>
      <c r="L305" s="15">
        <v>0.71</v>
      </c>
      <c r="M305" s="17">
        <v>4000</v>
      </c>
      <c r="N305" s="17">
        <f t="shared" si="24"/>
        <v>40000</v>
      </c>
      <c r="O305" s="17">
        <f t="shared" si="22"/>
        <v>400</v>
      </c>
      <c r="P305" s="17">
        <f t="shared" si="23"/>
        <v>40400</v>
      </c>
      <c r="Q305" s="19">
        <v>585</v>
      </c>
      <c r="R305" s="20"/>
    </row>
    <row r="306" spans="1:18" x14ac:dyDescent="0.25">
      <c r="A306" s="18" t="s">
        <v>20</v>
      </c>
      <c r="B306" s="22">
        <v>46162.431944444441</v>
      </c>
      <c r="C306" s="18">
        <v>202621</v>
      </c>
      <c r="D306" s="15">
        <v>25205</v>
      </c>
      <c r="E306" s="18">
        <v>3</v>
      </c>
      <c r="F306" s="18" t="s">
        <v>29</v>
      </c>
      <c r="G306" s="18">
        <v>5</v>
      </c>
      <c r="H306" s="18">
        <v>40</v>
      </c>
      <c r="I306" s="18">
        <v>1</v>
      </c>
      <c r="J306" s="18" t="s">
        <v>27</v>
      </c>
      <c r="K306" s="18">
        <v>40</v>
      </c>
      <c r="L306" s="18">
        <v>0.32</v>
      </c>
      <c r="M306" s="17">
        <v>1800</v>
      </c>
      <c r="N306" s="17">
        <f t="shared" si="24"/>
        <v>72000</v>
      </c>
      <c r="O306" s="17">
        <f t="shared" si="22"/>
        <v>720</v>
      </c>
      <c r="P306" s="17">
        <f t="shared" si="23"/>
        <v>72720</v>
      </c>
      <c r="Q306" s="19">
        <v>584</v>
      </c>
      <c r="R306" s="20"/>
    </row>
    <row r="307" spans="1:18" x14ac:dyDescent="0.25">
      <c r="A307" s="15" t="s">
        <v>20</v>
      </c>
      <c r="B307" s="16">
        <v>46162.429861111108</v>
      </c>
      <c r="C307" s="18">
        <v>202621</v>
      </c>
      <c r="D307" s="15">
        <v>26210</v>
      </c>
      <c r="E307" s="15">
        <v>4</v>
      </c>
      <c r="F307" s="15" t="s">
        <v>44</v>
      </c>
      <c r="G307" s="15">
        <v>6</v>
      </c>
      <c r="H307" s="15">
        <v>48</v>
      </c>
      <c r="I307" s="15">
        <v>1</v>
      </c>
      <c r="J307" s="15" t="s">
        <v>43</v>
      </c>
      <c r="K307" s="15">
        <v>29762</v>
      </c>
      <c r="L307" s="15">
        <v>0.41</v>
      </c>
      <c r="M307" s="17">
        <v>17</v>
      </c>
      <c r="N307" s="17">
        <f t="shared" si="24"/>
        <v>505954</v>
      </c>
      <c r="O307" s="17">
        <f t="shared" si="22"/>
        <v>5059.54</v>
      </c>
      <c r="P307" s="17">
        <f t="shared" si="23"/>
        <v>511013.54</v>
      </c>
      <c r="Q307" s="19">
        <v>586</v>
      </c>
      <c r="R307" s="20"/>
    </row>
    <row r="308" spans="1:18" x14ac:dyDescent="0.25">
      <c r="A308" s="18" t="s">
        <v>20</v>
      </c>
      <c r="B308" s="22">
        <v>46163.429166666669</v>
      </c>
      <c r="C308" s="18">
        <v>202621</v>
      </c>
      <c r="D308" s="18">
        <v>25201</v>
      </c>
      <c r="E308" s="18">
        <v>2</v>
      </c>
      <c r="F308" s="18" t="s">
        <v>45</v>
      </c>
      <c r="G308" s="18">
        <v>2</v>
      </c>
      <c r="H308" s="18">
        <v>16</v>
      </c>
      <c r="I308" s="18">
        <v>1</v>
      </c>
      <c r="J308" s="18" t="s">
        <v>27</v>
      </c>
      <c r="K308" s="18">
        <v>16</v>
      </c>
      <c r="L308" s="18">
        <v>1.3</v>
      </c>
      <c r="M308" s="17">
        <v>1800</v>
      </c>
      <c r="N308" s="17">
        <f t="shared" si="24"/>
        <v>28800</v>
      </c>
      <c r="O308" s="17">
        <f t="shared" si="22"/>
        <v>288</v>
      </c>
      <c r="P308" s="17">
        <f t="shared" si="23"/>
        <v>29088</v>
      </c>
      <c r="Q308" s="19">
        <v>587</v>
      </c>
      <c r="R308" s="20"/>
    </row>
    <row r="309" spans="1:18" x14ac:dyDescent="0.25">
      <c r="A309" s="15" t="s">
        <v>20</v>
      </c>
      <c r="B309" s="16">
        <v>46163.427083333336</v>
      </c>
      <c r="C309" s="18">
        <v>202621</v>
      </c>
      <c r="D309" s="15">
        <v>26210</v>
      </c>
      <c r="E309" s="15">
        <v>2</v>
      </c>
      <c r="F309" s="15" t="s">
        <v>30</v>
      </c>
      <c r="G309" s="15">
        <v>2</v>
      </c>
      <c r="H309" s="15">
        <v>16</v>
      </c>
      <c r="I309" s="15">
        <v>1</v>
      </c>
      <c r="J309" s="18" t="s">
        <v>31</v>
      </c>
      <c r="K309" s="15">
        <v>10</v>
      </c>
      <c r="L309" s="15">
        <v>0.71</v>
      </c>
      <c r="M309" s="17">
        <v>4000</v>
      </c>
      <c r="N309" s="17">
        <f t="shared" si="24"/>
        <v>40000</v>
      </c>
      <c r="O309" s="17">
        <f t="shared" si="22"/>
        <v>400</v>
      </c>
      <c r="P309" s="17">
        <f t="shared" si="23"/>
        <v>40400</v>
      </c>
      <c r="Q309" s="15">
        <v>585</v>
      </c>
      <c r="R309" s="20"/>
    </row>
    <row r="310" spans="1:18" x14ac:dyDescent="0.25">
      <c r="A310" s="18" t="s">
        <v>20</v>
      </c>
      <c r="B310" s="22">
        <v>46163.425694444442</v>
      </c>
      <c r="C310" s="18">
        <v>202621</v>
      </c>
      <c r="D310" s="15">
        <v>25205</v>
      </c>
      <c r="E310" s="18">
        <v>1</v>
      </c>
      <c r="F310" s="18" t="s">
        <v>29</v>
      </c>
      <c r="G310" s="18">
        <v>5</v>
      </c>
      <c r="H310" s="18">
        <v>40</v>
      </c>
      <c r="I310" s="18">
        <v>2</v>
      </c>
      <c r="J310" s="18" t="s">
        <v>27</v>
      </c>
      <c r="K310" s="18">
        <v>40</v>
      </c>
      <c r="L310" s="18">
        <v>0.45</v>
      </c>
      <c r="M310" s="17">
        <v>1800</v>
      </c>
      <c r="N310" s="17">
        <f t="shared" si="24"/>
        <v>72000</v>
      </c>
      <c r="O310" s="17">
        <f t="shared" si="22"/>
        <v>720</v>
      </c>
      <c r="P310" s="17">
        <f t="shared" si="23"/>
        <v>72720</v>
      </c>
      <c r="Q310" s="15">
        <v>584</v>
      </c>
      <c r="R310" s="20"/>
    </row>
    <row r="311" spans="1:18" x14ac:dyDescent="0.25">
      <c r="A311" s="15" t="s">
        <v>20</v>
      </c>
      <c r="B311" s="16">
        <v>46163.423611111109</v>
      </c>
      <c r="C311" s="18">
        <v>202621</v>
      </c>
      <c r="D311" s="15">
        <v>26210</v>
      </c>
      <c r="E311" s="15">
        <v>4</v>
      </c>
      <c r="F311" s="15" t="s">
        <v>44</v>
      </c>
      <c r="G311" s="15">
        <v>6</v>
      </c>
      <c r="H311" s="15">
        <v>48</v>
      </c>
      <c r="I311" s="15">
        <v>1</v>
      </c>
      <c r="J311" s="15" t="s">
        <v>43</v>
      </c>
      <c r="K311" s="15">
        <v>29647</v>
      </c>
      <c r="L311" s="15">
        <v>0.41</v>
      </c>
      <c r="M311" s="17">
        <v>17</v>
      </c>
      <c r="N311" s="17">
        <f t="shared" si="24"/>
        <v>503999</v>
      </c>
      <c r="O311" s="17">
        <f t="shared" si="22"/>
        <v>5039.99</v>
      </c>
      <c r="P311" s="17">
        <f t="shared" si="23"/>
        <v>509038.99</v>
      </c>
      <c r="Q311" s="19">
        <v>586</v>
      </c>
      <c r="R311" s="20"/>
    </row>
    <row r="312" spans="1:18" x14ac:dyDescent="0.25">
      <c r="A312" s="15" t="s">
        <v>20</v>
      </c>
      <c r="B312" s="16">
        <v>46164.507638888892</v>
      </c>
      <c r="C312" s="18">
        <v>202621</v>
      </c>
      <c r="D312" s="18">
        <v>25201</v>
      </c>
      <c r="E312" s="15">
        <v>3</v>
      </c>
      <c r="F312" s="15" t="s">
        <v>45</v>
      </c>
      <c r="G312" s="15">
        <v>1</v>
      </c>
      <c r="H312" s="15">
        <v>8</v>
      </c>
      <c r="I312" s="15">
        <v>1</v>
      </c>
      <c r="J312" s="15" t="s">
        <v>27</v>
      </c>
      <c r="K312" s="15">
        <v>8</v>
      </c>
      <c r="L312" s="15">
        <v>0.5</v>
      </c>
      <c r="M312" s="17">
        <v>1800</v>
      </c>
      <c r="N312" s="17">
        <f t="shared" si="24"/>
        <v>14400</v>
      </c>
      <c r="O312" s="17">
        <f t="shared" si="22"/>
        <v>144</v>
      </c>
      <c r="P312" s="17">
        <f t="shared" si="23"/>
        <v>14544</v>
      </c>
      <c r="Q312" s="19">
        <v>587</v>
      </c>
      <c r="R312" s="20"/>
    </row>
    <row r="313" spans="1:18" x14ac:dyDescent="0.25">
      <c r="A313" s="18" t="s">
        <v>20</v>
      </c>
      <c r="B313" s="22">
        <v>46164.505555555559</v>
      </c>
      <c r="C313" s="18">
        <v>202621</v>
      </c>
      <c r="D313" s="15">
        <v>26210</v>
      </c>
      <c r="E313" s="18">
        <v>4</v>
      </c>
      <c r="F313" s="18" t="s">
        <v>22</v>
      </c>
      <c r="G313" s="18">
        <v>1</v>
      </c>
      <c r="H313" s="18">
        <v>8</v>
      </c>
      <c r="I313" s="18">
        <v>1</v>
      </c>
      <c r="J313" s="18" t="s">
        <v>43</v>
      </c>
      <c r="K313" s="18">
        <v>1</v>
      </c>
      <c r="L313" s="18">
        <v>0.01</v>
      </c>
      <c r="M313" s="17">
        <v>60000</v>
      </c>
      <c r="N313" s="17">
        <f t="shared" si="24"/>
        <v>60000</v>
      </c>
      <c r="O313" s="17">
        <f t="shared" si="22"/>
        <v>600</v>
      </c>
      <c r="P313" s="17">
        <f t="shared" si="23"/>
        <v>60600</v>
      </c>
      <c r="Q313" s="19">
        <v>588</v>
      </c>
      <c r="R313" s="20"/>
    </row>
    <row r="314" spans="1:18" x14ac:dyDescent="0.25">
      <c r="A314" s="15" t="s">
        <v>20</v>
      </c>
      <c r="B314" s="16">
        <v>46164.50277777778</v>
      </c>
      <c r="C314" s="18">
        <v>202621</v>
      </c>
      <c r="D314" s="15">
        <v>26210</v>
      </c>
      <c r="E314" s="15">
        <v>2</v>
      </c>
      <c r="F314" s="15" t="s">
        <v>30</v>
      </c>
      <c r="G314" s="15">
        <v>1</v>
      </c>
      <c r="H314" s="15">
        <v>8</v>
      </c>
      <c r="I314" s="15">
        <v>1</v>
      </c>
      <c r="J314" s="18" t="s">
        <v>31</v>
      </c>
      <c r="K314" s="15">
        <v>6</v>
      </c>
      <c r="L314" s="15">
        <v>0.42</v>
      </c>
      <c r="M314" s="17">
        <v>4000</v>
      </c>
      <c r="N314" s="17">
        <f t="shared" si="24"/>
        <v>24000</v>
      </c>
      <c r="O314" s="17">
        <f t="shared" si="22"/>
        <v>240</v>
      </c>
      <c r="P314" s="17">
        <f t="shared" si="23"/>
        <v>24240</v>
      </c>
      <c r="Q314" s="19">
        <v>585</v>
      </c>
      <c r="R314" s="20"/>
    </row>
    <row r="315" spans="1:18" x14ac:dyDescent="0.25">
      <c r="A315" s="18" t="s">
        <v>20</v>
      </c>
      <c r="B315" s="22">
        <v>46164.5</v>
      </c>
      <c r="C315" s="18">
        <v>202621</v>
      </c>
      <c r="D315" s="15">
        <v>25205</v>
      </c>
      <c r="E315" s="18">
        <v>2</v>
      </c>
      <c r="F315" s="18" t="s">
        <v>29</v>
      </c>
      <c r="G315" s="18">
        <v>5</v>
      </c>
      <c r="H315" s="18">
        <v>40</v>
      </c>
      <c r="I315" s="18">
        <v>1</v>
      </c>
      <c r="J315" s="18" t="s">
        <v>27</v>
      </c>
      <c r="K315" s="18">
        <v>40</v>
      </c>
      <c r="L315" s="18">
        <v>0.45</v>
      </c>
      <c r="M315" s="17">
        <v>1800</v>
      </c>
      <c r="N315" s="17">
        <f t="shared" si="24"/>
        <v>72000</v>
      </c>
      <c r="O315" s="17">
        <f t="shared" ref="O315:O378" si="25">+N315*0.01</f>
        <v>720</v>
      </c>
      <c r="P315" s="17">
        <f t="shared" ref="P315:P378" si="26">+N315+O315</f>
        <v>72720</v>
      </c>
      <c r="Q315" s="15">
        <v>584</v>
      </c>
      <c r="R315" s="20"/>
    </row>
    <row r="316" spans="1:18" x14ac:dyDescent="0.25">
      <c r="A316" s="15" t="s">
        <v>20</v>
      </c>
      <c r="B316" s="16">
        <v>46164.49722222222</v>
      </c>
      <c r="C316" s="18">
        <v>202621</v>
      </c>
      <c r="D316" s="15">
        <v>26210</v>
      </c>
      <c r="E316" s="15">
        <v>4</v>
      </c>
      <c r="F316" s="15" t="s">
        <v>44</v>
      </c>
      <c r="G316" s="15">
        <v>6</v>
      </c>
      <c r="H316" s="15">
        <v>48</v>
      </c>
      <c r="I316" s="15">
        <v>1</v>
      </c>
      <c r="J316" s="15" t="s">
        <v>43</v>
      </c>
      <c r="K316" s="15">
        <v>29301</v>
      </c>
      <c r="L316" s="15">
        <v>0.4</v>
      </c>
      <c r="M316" s="17">
        <v>17</v>
      </c>
      <c r="N316" s="17">
        <f t="shared" si="24"/>
        <v>498117</v>
      </c>
      <c r="O316" s="17">
        <f t="shared" si="25"/>
        <v>4981.17</v>
      </c>
      <c r="P316" s="17">
        <f t="shared" si="26"/>
        <v>503098.17</v>
      </c>
      <c r="Q316" s="15">
        <v>586</v>
      </c>
      <c r="R316" s="20"/>
    </row>
    <row r="317" spans="1:18" x14ac:dyDescent="0.25">
      <c r="A317" s="18" t="s">
        <v>20</v>
      </c>
      <c r="B317" s="22">
        <v>46165.404861111114</v>
      </c>
      <c r="C317" s="18">
        <v>202621</v>
      </c>
      <c r="D317" s="18">
        <v>25201</v>
      </c>
      <c r="E317" s="18">
        <v>4</v>
      </c>
      <c r="F317" s="18" t="s">
        <v>45</v>
      </c>
      <c r="G317" s="18">
        <v>2</v>
      </c>
      <c r="H317" s="18">
        <v>16</v>
      </c>
      <c r="I317" s="18">
        <v>1</v>
      </c>
      <c r="J317" s="18" t="s">
        <v>27</v>
      </c>
      <c r="K317" s="18">
        <v>16</v>
      </c>
      <c r="L317" s="18">
        <v>1.05</v>
      </c>
      <c r="M317" s="17">
        <v>1800</v>
      </c>
      <c r="N317" s="17">
        <f t="shared" si="24"/>
        <v>28800</v>
      </c>
      <c r="O317" s="17">
        <f t="shared" si="25"/>
        <v>288</v>
      </c>
      <c r="P317" s="17">
        <f t="shared" si="26"/>
        <v>29088</v>
      </c>
      <c r="Q317" s="15">
        <v>587</v>
      </c>
      <c r="R317" s="20"/>
    </row>
    <row r="318" spans="1:18" x14ac:dyDescent="0.25">
      <c r="A318" s="15" t="s">
        <v>20</v>
      </c>
      <c r="B318" s="16">
        <v>46165.399305555555</v>
      </c>
      <c r="C318" s="18">
        <v>202621</v>
      </c>
      <c r="D318" s="15">
        <v>26210</v>
      </c>
      <c r="E318" s="15">
        <v>4</v>
      </c>
      <c r="F318" s="15" t="s">
        <v>22</v>
      </c>
      <c r="G318" s="15">
        <v>1</v>
      </c>
      <c r="H318" s="15">
        <v>8</v>
      </c>
      <c r="I318" s="15">
        <v>1</v>
      </c>
      <c r="J318" s="15" t="s">
        <v>43</v>
      </c>
      <c r="K318" s="15">
        <v>1</v>
      </c>
      <c r="L318" s="15">
        <v>0.01</v>
      </c>
      <c r="M318" s="17">
        <v>60000</v>
      </c>
      <c r="N318" s="17">
        <f t="shared" si="24"/>
        <v>60000</v>
      </c>
      <c r="O318" s="17">
        <f t="shared" si="25"/>
        <v>600</v>
      </c>
      <c r="P318" s="17">
        <f t="shared" si="26"/>
        <v>60600</v>
      </c>
      <c r="Q318" s="15">
        <v>588</v>
      </c>
      <c r="R318" s="20"/>
    </row>
    <row r="319" spans="1:18" x14ac:dyDescent="0.25">
      <c r="A319" s="18" t="s">
        <v>20</v>
      </c>
      <c r="B319" s="22">
        <v>46165.394444444442</v>
      </c>
      <c r="C319" s="18">
        <v>202621</v>
      </c>
      <c r="D319" s="15">
        <v>26210</v>
      </c>
      <c r="E319" s="18">
        <v>2</v>
      </c>
      <c r="F319" s="18" t="s">
        <v>30</v>
      </c>
      <c r="G319" s="18">
        <v>2</v>
      </c>
      <c r="H319" s="18">
        <v>16</v>
      </c>
      <c r="I319" s="18">
        <v>1</v>
      </c>
      <c r="J319" s="18" t="s">
        <v>31</v>
      </c>
      <c r="K319" s="18">
        <v>9</v>
      </c>
      <c r="L319" s="18">
        <v>0.63</v>
      </c>
      <c r="M319" s="17">
        <v>4000</v>
      </c>
      <c r="N319" s="17">
        <f t="shared" si="24"/>
        <v>36000</v>
      </c>
      <c r="O319" s="17">
        <f t="shared" si="25"/>
        <v>360</v>
      </c>
      <c r="P319" s="17">
        <f t="shared" si="26"/>
        <v>36360</v>
      </c>
      <c r="Q319" s="15">
        <v>585</v>
      </c>
      <c r="R319" s="20"/>
    </row>
    <row r="320" spans="1:18" x14ac:dyDescent="0.25">
      <c r="A320" s="15" t="s">
        <v>20</v>
      </c>
      <c r="B320" s="16">
        <v>46165.393055555556</v>
      </c>
      <c r="C320" s="18">
        <v>202621</v>
      </c>
      <c r="D320" s="15">
        <v>25205</v>
      </c>
      <c r="E320" s="15">
        <v>3</v>
      </c>
      <c r="F320" s="15" t="s">
        <v>29</v>
      </c>
      <c r="G320" s="15">
        <v>5</v>
      </c>
      <c r="H320" s="15">
        <v>40</v>
      </c>
      <c r="I320" s="15">
        <v>1</v>
      </c>
      <c r="J320" s="15" t="s">
        <v>27</v>
      </c>
      <c r="K320" s="15">
        <v>40</v>
      </c>
      <c r="L320" s="15">
        <v>0.25</v>
      </c>
      <c r="M320" s="17">
        <v>1800</v>
      </c>
      <c r="N320" s="17">
        <f t="shared" si="24"/>
        <v>72000</v>
      </c>
      <c r="O320" s="17">
        <f t="shared" si="25"/>
        <v>720</v>
      </c>
      <c r="P320" s="17">
        <f t="shared" si="26"/>
        <v>72720</v>
      </c>
      <c r="Q320" s="15">
        <v>584</v>
      </c>
      <c r="R320" s="20"/>
    </row>
    <row r="321" spans="1:18" x14ac:dyDescent="0.25">
      <c r="A321" s="15" t="s">
        <v>20</v>
      </c>
      <c r="B321" s="16">
        <v>46165.323611111111</v>
      </c>
      <c r="C321" s="18">
        <v>202621</v>
      </c>
      <c r="D321" s="15">
        <v>25206</v>
      </c>
      <c r="E321" s="15">
        <v>1</v>
      </c>
      <c r="F321" s="15" t="s">
        <v>48</v>
      </c>
      <c r="G321" s="15">
        <v>1</v>
      </c>
      <c r="H321" s="15">
        <v>8</v>
      </c>
      <c r="I321" s="15">
        <v>1</v>
      </c>
      <c r="J321" s="15" t="s">
        <v>27</v>
      </c>
      <c r="K321" s="15">
        <v>8</v>
      </c>
      <c r="L321" s="15">
        <v>0.09</v>
      </c>
      <c r="M321" s="17">
        <v>1800</v>
      </c>
      <c r="N321" s="17">
        <f t="shared" si="24"/>
        <v>14400</v>
      </c>
      <c r="O321" s="17">
        <f t="shared" si="25"/>
        <v>144</v>
      </c>
      <c r="P321" s="17">
        <f t="shared" si="26"/>
        <v>14544</v>
      </c>
      <c r="Q321" s="15">
        <v>591</v>
      </c>
      <c r="R321" s="20"/>
    </row>
    <row r="322" spans="1:18" x14ac:dyDescent="0.25">
      <c r="A322" s="18" t="s">
        <v>20</v>
      </c>
      <c r="B322" s="22">
        <v>46167.320833333331</v>
      </c>
      <c r="C322" s="18">
        <v>202621</v>
      </c>
      <c r="D322" s="15">
        <v>25206</v>
      </c>
      <c r="E322" s="18">
        <v>1</v>
      </c>
      <c r="F322" s="18" t="s">
        <v>50</v>
      </c>
      <c r="G322" s="18">
        <v>1</v>
      </c>
      <c r="H322" s="18">
        <v>8</v>
      </c>
      <c r="I322" s="18">
        <v>1</v>
      </c>
      <c r="J322" s="18" t="s">
        <v>27</v>
      </c>
      <c r="K322" s="18">
        <v>8</v>
      </c>
      <c r="L322" s="18">
        <v>0.12</v>
      </c>
      <c r="M322" s="17">
        <v>1800</v>
      </c>
      <c r="N322" s="17">
        <f t="shared" si="24"/>
        <v>14400</v>
      </c>
      <c r="O322" s="17">
        <f t="shared" si="25"/>
        <v>144</v>
      </c>
      <c r="P322" s="17">
        <f t="shared" si="26"/>
        <v>14544</v>
      </c>
      <c r="Q322" s="15">
        <v>590</v>
      </c>
      <c r="R322" s="20"/>
    </row>
    <row r="323" spans="1:18" x14ac:dyDescent="0.25">
      <c r="A323" s="18" t="s">
        <v>20</v>
      </c>
      <c r="B323" s="22">
        <v>46162.421527777777</v>
      </c>
      <c r="C323" s="18">
        <v>202621</v>
      </c>
      <c r="D323" s="18">
        <v>26301</v>
      </c>
      <c r="E323" s="18">
        <v>1</v>
      </c>
      <c r="F323" s="18" t="s">
        <v>51</v>
      </c>
      <c r="G323" s="18">
        <v>1</v>
      </c>
      <c r="H323" s="18">
        <v>8</v>
      </c>
      <c r="I323" s="18">
        <v>1</v>
      </c>
      <c r="J323" s="18" t="s">
        <v>43</v>
      </c>
      <c r="K323" s="18">
        <v>1</v>
      </c>
      <c r="L323" s="18">
        <v>0.01</v>
      </c>
      <c r="M323" s="17">
        <v>70000</v>
      </c>
      <c r="N323" s="17">
        <f t="shared" si="24"/>
        <v>70000</v>
      </c>
      <c r="O323" s="17">
        <f t="shared" si="25"/>
        <v>700</v>
      </c>
      <c r="P323" s="17">
        <f t="shared" si="26"/>
        <v>70700</v>
      </c>
      <c r="Q323" s="15">
        <v>589</v>
      </c>
      <c r="R323" s="20"/>
    </row>
    <row r="324" spans="1:18" x14ac:dyDescent="0.25">
      <c r="A324" s="18" t="s">
        <v>20</v>
      </c>
      <c r="B324" s="22">
        <v>46163</v>
      </c>
      <c r="C324" s="18">
        <v>202621</v>
      </c>
      <c r="D324" s="18">
        <v>26301</v>
      </c>
      <c r="E324" s="18">
        <v>1</v>
      </c>
      <c r="F324" s="18" t="s">
        <v>52</v>
      </c>
      <c r="G324" s="18">
        <v>5</v>
      </c>
      <c r="H324" s="18">
        <v>40</v>
      </c>
      <c r="I324" s="18">
        <v>1</v>
      </c>
      <c r="J324" s="18" t="s">
        <v>31</v>
      </c>
      <c r="K324" s="18">
        <v>63</v>
      </c>
      <c r="L324" s="18">
        <v>2</v>
      </c>
      <c r="M324" s="17">
        <v>3000</v>
      </c>
      <c r="N324" s="17">
        <f t="shared" ref="N324:N326" si="27">+K324*M324</f>
        <v>189000</v>
      </c>
      <c r="O324" s="17">
        <f t="shared" si="25"/>
        <v>1890</v>
      </c>
      <c r="P324" s="17">
        <f t="shared" si="26"/>
        <v>190890</v>
      </c>
      <c r="Q324" s="20"/>
      <c r="R324" s="20"/>
    </row>
    <row r="325" spans="1:18" x14ac:dyDescent="0.25">
      <c r="A325" s="15" t="s">
        <v>20</v>
      </c>
      <c r="B325" s="22">
        <v>46164</v>
      </c>
      <c r="C325" s="18">
        <v>202621</v>
      </c>
      <c r="D325" s="18">
        <v>26301</v>
      </c>
      <c r="E325" s="15">
        <v>1</v>
      </c>
      <c r="F325" s="15" t="s">
        <v>53</v>
      </c>
      <c r="G325" s="15">
        <v>5</v>
      </c>
      <c r="H325" s="15">
        <v>40</v>
      </c>
      <c r="I325" s="15">
        <v>1</v>
      </c>
      <c r="J325" s="15" t="s">
        <v>31</v>
      </c>
      <c r="K325" s="15">
        <v>64</v>
      </c>
      <c r="L325" s="15">
        <v>2</v>
      </c>
      <c r="M325" s="17">
        <v>3000</v>
      </c>
      <c r="N325" s="17">
        <f t="shared" si="27"/>
        <v>192000</v>
      </c>
      <c r="O325" s="17">
        <f t="shared" si="25"/>
        <v>1920</v>
      </c>
      <c r="P325" s="17">
        <f t="shared" si="26"/>
        <v>193920</v>
      </c>
      <c r="Q325" s="20"/>
      <c r="R325" s="20"/>
    </row>
    <row r="326" spans="1:18" x14ac:dyDescent="0.25">
      <c r="A326" s="18" t="s">
        <v>20</v>
      </c>
      <c r="B326" s="22">
        <v>46164.407638888886</v>
      </c>
      <c r="C326" s="18">
        <v>202621</v>
      </c>
      <c r="D326" s="18">
        <v>26301</v>
      </c>
      <c r="E326" s="18">
        <v>1</v>
      </c>
      <c r="F326" s="18" t="s">
        <v>53</v>
      </c>
      <c r="G326" s="18">
        <v>0</v>
      </c>
      <c r="H326" s="18">
        <v>2</v>
      </c>
      <c r="I326" s="18">
        <v>1</v>
      </c>
      <c r="J326" s="18" t="s">
        <v>31</v>
      </c>
      <c r="K326" s="18">
        <v>250</v>
      </c>
      <c r="L326" s="18">
        <v>0.5</v>
      </c>
      <c r="M326" s="17">
        <v>3000</v>
      </c>
      <c r="N326" s="17">
        <f t="shared" si="27"/>
        <v>750000</v>
      </c>
      <c r="O326" s="17">
        <f t="shared" si="25"/>
        <v>7500</v>
      </c>
      <c r="P326" s="17">
        <f t="shared" si="26"/>
        <v>757500</v>
      </c>
      <c r="Q326" s="20"/>
      <c r="R326" s="20"/>
    </row>
    <row r="327" spans="1:18" x14ac:dyDescent="0.25">
      <c r="A327" s="18" t="s">
        <v>20</v>
      </c>
      <c r="B327" s="22">
        <v>46165.327777777777</v>
      </c>
      <c r="C327" s="18">
        <v>202621</v>
      </c>
      <c r="D327" s="18">
        <v>26301</v>
      </c>
      <c r="E327" s="18">
        <v>1</v>
      </c>
      <c r="F327" s="18" t="s">
        <v>52</v>
      </c>
      <c r="G327" s="18">
        <v>6</v>
      </c>
      <c r="H327" s="18">
        <v>48</v>
      </c>
      <c r="I327" s="18">
        <v>1</v>
      </c>
      <c r="J327" s="18" t="s">
        <v>31</v>
      </c>
      <c r="K327" s="18">
        <v>47</v>
      </c>
      <c r="L327" s="18">
        <v>2</v>
      </c>
      <c r="M327" s="17">
        <v>3000</v>
      </c>
      <c r="N327" s="17">
        <f>+K327*M327</f>
        <v>141000</v>
      </c>
      <c r="O327" s="17">
        <f t="shared" si="25"/>
        <v>1410</v>
      </c>
      <c r="P327" s="17">
        <f t="shared" si="26"/>
        <v>142410</v>
      </c>
      <c r="Q327" s="20"/>
      <c r="R327" s="20"/>
    </row>
    <row r="328" spans="1:18" x14ac:dyDescent="0.25">
      <c r="A328" s="18" t="s">
        <v>20</v>
      </c>
      <c r="B328" s="22">
        <v>46167.388194444444</v>
      </c>
      <c r="C328" s="18">
        <v>202622</v>
      </c>
      <c r="D328" s="15">
        <v>25205</v>
      </c>
      <c r="E328" s="18">
        <v>1</v>
      </c>
      <c r="F328" s="18" t="s">
        <v>45</v>
      </c>
      <c r="G328" s="18">
        <v>2</v>
      </c>
      <c r="H328" s="18">
        <v>16</v>
      </c>
      <c r="I328" s="18">
        <v>1</v>
      </c>
      <c r="J328" s="18" t="s">
        <v>27</v>
      </c>
      <c r="K328" s="18">
        <v>16</v>
      </c>
      <c r="L328" s="18">
        <v>4.08</v>
      </c>
      <c r="M328" s="17">
        <v>1800</v>
      </c>
      <c r="N328" s="17">
        <f t="shared" ref="N328:N362" si="28">+K328*M328</f>
        <v>28800</v>
      </c>
      <c r="O328" s="17">
        <f t="shared" si="25"/>
        <v>288</v>
      </c>
      <c r="P328" s="17">
        <f t="shared" si="26"/>
        <v>29088</v>
      </c>
      <c r="Q328" s="19">
        <v>596</v>
      </c>
      <c r="R328" s="20"/>
    </row>
    <row r="329" spans="1:18" x14ac:dyDescent="0.25">
      <c r="A329" s="15" t="s">
        <v>20</v>
      </c>
      <c r="B329" s="16">
        <v>46167.384722222225</v>
      </c>
      <c r="C329" s="18">
        <v>202622</v>
      </c>
      <c r="D329" s="15">
        <v>26210</v>
      </c>
      <c r="E329" s="15">
        <v>2</v>
      </c>
      <c r="F329" s="15" t="s">
        <v>30</v>
      </c>
      <c r="G329" s="15">
        <v>1</v>
      </c>
      <c r="H329" s="15">
        <v>8</v>
      </c>
      <c r="I329" s="15">
        <v>1</v>
      </c>
      <c r="J329" s="18" t="s">
        <v>31</v>
      </c>
      <c r="K329" s="15">
        <v>6</v>
      </c>
      <c r="L329" s="15">
        <v>0.42</v>
      </c>
      <c r="M329" s="17">
        <v>4000</v>
      </c>
      <c r="N329" s="17">
        <f t="shared" si="28"/>
        <v>24000</v>
      </c>
      <c r="O329" s="17">
        <f t="shared" si="25"/>
        <v>240</v>
      </c>
      <c r="P329" s="17">
        <f t="shared" si="26"/>
        <v>24240</v>
      </c>
      <c r="Q329" s="19">
        <v>600</v>
      </c>
      <c r="R329" s="20"/>
    </row>
    <row r="330" spans="1:18" x14ac:dyDescent="0.25">
      <c r="A330" s="18" t="s">
        <v>20</v>
      </c>
      <c r="B330" s="22">
        <v>46167.378472222219</v>
      </c>
      <c r="C330" s="18">
        <v>202622</v>
      </c>
      <c r="D330" s="15">
        <v>25205</v>
      </c>
      <c r="E330" s="18">
        <v>3</v>
      </c>
      <c r="F330" s="18" t="s">
        <v>29</v>
      </c>
      <c r="G330" s="18">
        <v>5</v>
      </c>
      <c r="H330" s="18">
        <v>40</v>
      </c>
      <c r="I330" s="18">
        <v>1</v>
      </c>
      <c r="J330" s="18" t="s">
        <v>27</v>
      </c>
      <c r="K330" s="18">
        <v>40</v>
      </c>
      <c r="L330" s="18">
        <v>0.4</v>
      </c>
      <c r="M330" s="17">
        <v>1800</v>
      </c>
      <c r="N330" s="17">
        <f t="shared" si="28"/>
        <v>72000</v>
      </c>
      <c r="O330" s="17">
        <f t="shared" si="25"/>
        <v>720</v>
      </c>
      <c r="P330" s="17">
        <f t="shared" si="26"/>
        <v>72720</v>
      </c>
      <c r="Q330" s="19">
        <v>601</v>
      </c>
      <c r="R330" s="20"/>
    </row>
    <row r="331" spans="1:18" x14ac:dyDescent="0.25">
      <c r="A331" s="15" t="s">
        <v>20</v>
      </c>
      <c r="B331" s="16">
        <v>46167.376388888886</v>
      </c>
      <c r="C331" s="18">
        <v>202622</v>
      </c>
      <c r="D331" s="15">
        <v>26210</v>
      </c>
      <c r="E331" s="15">
        <v>4</v>
      </c>
      <c r="F331" s="15" t="s">
        <v>44</v>
      </c>
      <c r="G331" s="15">
        <v>6</v>
      </c>
      <c r="H331" s="15">
        <v>48</v>
      </c>
      <c r="I331" s="15">
        <v>1</v>
      </c>
      <c r="J331" s="15" t="s">
        <v>43</v>
      </c>
      <c r="K331" s="15">
        <v>21557</v>
      </c>
      <c r="L331" s="15">
        <v>0.28999999999999998</v>
      </c>
      <c r="M331" s="17">
        <v>17</v>
      </c>
      <c r="N331" s="17">
        <f t="shared" si="28"/>
        <v>366469</v>
      </c>
      <c r="O331" s="17">
        <f t="shared" si="25"/>
        <v>3664.69</v>
      </c>
      <c r="P331" s="17">
        <f t="shared" si="26"/>
        <v>370133.69</v>
      </c>
      <c r="Q331" s="19">
        <v>602</v>
      </c>
      <c r="R331" s="20"/>
    </row>
    <row r="332" spans="1:18" x14ac:dyDescent="0.25">
      <c r="A332" s="18" t="s">
        <v>20</v>
      </c>
      <c r="B332" s="22">
        <v>46167.357638888891</v>
      </c>
      <c r="C332" s="18">
        <v>202622</v>
      </c>
      <c r="D332" s="15">
        <v>25206</v>
      </c>
      <c r="E332" s="18">
        <v>1</v>
      </c>
      <c r="F332" s="18" t="s">
        <v>50</v>
      </c>
      <c r="G332" s="18">
        <v>1</v>
      </c>
      <c r="H332" s="18">
        <v>8</v>
      </c>
      <c r="I332" s="18">
        <v>1</v>
      </c>
      <c r="J332" s="18" t="s">
        <v>27</v>
      </c>
      <c r="K332" s="18">
        <v>8</v>
      </c>
      <c r="L332" s="18">
        <v>0.17</v>
      </c>
      <c r="M332" s="17">
        <v>1800</v>
      </c>
      <c r="N332" s="17">
        <f t="shared" si="28"/>
        <v>14400</v>
      </c>
      <c r="O332" s="17">
        <f t="shared" si="25"/>
        <v>144</v>
      </c>
      <c r="P332" s="17">
        <f t="shared" si="26"/>
        <v>14544</v>
      </c>
      <c r="Q332" s="19">
        <v>603</v>
      </c>
      <c r="R332" s="20"/>
    </row>
    <row r="333" spans="1:18" x14ac:dyDescent="0.25">
      <c r="A333" s="15" t="s">
        <v>20</v>
      </c>
      <c r="B333" s="16">
        <v>46167.356249999997</v>
      </c>
      <c r="C333" s="18">
        <v>202622</v>
      </c>
      <c r="D333" s="15">
        <v>25206</v>
      </c>
      <c r="E333" s="15">
        <v>1</v>
      </c>
      <c r="F333" s="15" t="s">
        <v>48</v>
      </c>
      <c r="G333" s="15">
        <v>1</v>
      </c>
      <c r="H333" s="15">
        <v>8</v>
      </c>
      <c r="I333" s="15">
        <v>1</v>
      </c>
      <c r="J333" s="15" t="s">
        <v>27</v>
      </c>
      <c r="K333" s="15">
        <v>8</v>
      </c>
      <c r="L333" s="15">
        <v>0.12</v>
      </c>
      <c r="M333" s="17">
        <v>1800</v>
      </c>
      <c r="N333" s="17">
        <f t="shared" si="28"/>
        <v>14400</v>
      </c>
      <c r="O333" s="17">
        <f t="shared" si="25"/>
        <v>144</v>
      </c>
      <c r="P333" s="17">
        <f t="shared" si="26"/>
        <v>14544</v>
      </c>
      <c r="Q333" s="19">
        <v>604</v>
      </c>
      <c r="R333" s="20"/>
    </row>
    <row r="334" spans="1:18" x14ac:dyDescent="0.25">
      <c r="A334" s="18" t="s">
        <v>20</v>
      </c>
      <c r="B334" s="22">
        <v>46167.354166666664</v>
      </c>
      <c r="C334" s="18">
        <v>202622</v>
      </c>
      <c r="D334" s="15">
        <v>25206</v>
      </c>
      <c r="E334" s="18">
        <v>1</v>
      </c>
      <c r="F334" s="18" t="s">
        <v>49</v>
      </c>
      <c r="G334" s="18">
        <v>5</v>
      </c>
      <c r="H334" s="18">
        <v>40</v>
      </c>
      <c r="I334" s="18">
        <v>1</v>
      </c>
      <c r="J334" s="18" t="s">
        <v>27</v>
      </c>
      <c r="K334" s="18">
        <v>40</v>
      </c>
      <c r="L334" s="18">
        <v>0.1</v>
      </c>
      <c r="M334" s="17">
        <v>1800</v>
      </c>
      <c r="N334" s="17">
        <f t="shared" si="28"/>
        <v>72000</v>
      </c>
      <c r="O334" s="17">
        <f t="shared" si="25"/>
        <v>720</v>
      </c>
      <c r="P334" s="17">
        <f t="shared" si="26"/>
        <v>72720</v>
      </c>
      <c r="Q334" s="19">
        <v>597</v>
      </c>
      <c r="R334" s="20"/>
    </row>
    <row r="335" spans="1:18" x14ac:dyDescent="0.25">
      <c r="A335" s="18" t="s">
        <v>20</v>
      </c>
      <c r="B335" s="22">
        <v>46168.370138888888</v>
      </c>
      <c r="C335" s="18">
        <v>202622</v>
      </c>
      <c r="D335" s="15">
        <v>25205</v>
      </c>
      <c r="E335" s="18">
        <v>2</v>
      </c>
      <c r="F335" s="18" t="s">
        <v>45</v>
      </c>
      <c r="G335" s="18">
        <v>1</v>
      </c>
      <c r="H335" s="18">
        <v>8</v>
      </c>
      <c r="I335" s="18">
        <v>1</v>
      </c>
      <c r="J335" s="18" t="s">
        <v>27</v>
      </c>
      <c r="K335" s="18">
        <v>8</v>
      </c>
      <c r="L335" s="18">
        <v>1</v>
      </c>
      <c r="M335" s="17">
        <v>1800</v>
      </c>
      <c r="N335" s="17">
        <f t="shared" si="28"/>
        <v>14400</v>
      </c>
      <c r="O335" s="17">
        <f t="shared" si="25"/>
        <v>144</v>
      </c>
      <c r="P335" s="17">
        <f t="shared" si="26"/>
        <v>14544</v>
      </c>
      <c r="Q335" s="19">
        <v>596</v>
      </c>
      <c r="R335" s="20"/>
    </row>
    <row r="336" spans="1:18" x14ac:dyDescent="0.25">
      <c r="A336" s="15" t="s">
        <v>20</v>
      </c>
      <c r="B336" s="16">
        <v>46168.364583333336</v>
      </c>
      <c r="C336" s="18">
        <v>202622</v>
      </c>
      <c r="D336" s="15">
        <v>26210</v>
      </c>
      <c r="E336" s="15">
        <v>4</v>
      </c>
      <c r="F336" s="15" t="s">
        <v>22</v>
      </c>
      <c r="G336" s="15">
        <v>1</v>
      </c>
      <c r="H336" s="15">
        <v>8</v>
      </c>
      <c r="I336" s="15">
        <v>1</v>
      </c>
      <c r="J336" s="15" t="s">
        <v>43</v>
      </c>
      <c r="K336" s="15">
        <v>1</v>
      </c>
      <c r="L336" s="15">
        <v>0.01</v>
      </c>
      <c r="M336" s="17">
        <v>60000</v>
      </c>
      <c r="N336" s="17">
        <f t="shared" si="28"/>
        <v>60000</v>
      </c>
      <c r="O336" s="17">
        <f t="shared" si="25"/>
        <v>600</v>
      </c>
      <c r="P336" s="17">
        <f t="shared" si="26"/>
        <v>60600</v>
      </c>
      <c r="Q336" s="19">
        <v>598</v>
      </c>
      <c r="R336" s="20"/>
    </row>
    <row r="337" spans="1:18" x14ac:dyDescent="0.25">
      <c r="A337" s="18" t="s">
        <v>20</v>
      </c>
      <c r="B337" s="22">
        <v>46168.362500000003</v>
      </c>
      <c r="C337" s="18">
        <v>202622</v>
      </c>
      <c r="D337" s="15">
        <v>26210</v>
      </c>
      <c r="E337" s="18">
        <v>3</v>
      </c>
      <c r="F337" s="18" t="s">
        <v>30</v>
      </c>
      <c r="G337" s="18">
        <v>1</v>
      </c>
      <c r="H337" s="18">
        <v>8</v>
      </c>
      <c r="I337" s="18">
        <v>1</v>
      </c>
      <c r="J337" s="18" t="s">
        <v>31</v>
      </c>
      <c r="K337" s="18">
        <v>5</v>
      </c>
      <c r="L337" s="18">
        <v>0.35</v>
      </c>
      <c r="M337" s="17">
        <v>4000</v>
      </c>
      <c r="N337" s="17">
        <f t="shared" si="28"/>
        <v>20000</v>
      </c>
      <c r="O337" s="17">
        <f t="shared" si="25"/>
        <v>200</v>
      </c>
      <c r="P337" s="17">
        <f t="shared" si="26"/>
        <v>20200</v>
      </c>
      <c r="Q337" s="19">
        <v>600</v>
      </c>
      <c r="R337" s="20"/>
    </row>
    <row r="338" spans="1:18" x14ac:dyDescent="0.25">
      <c r="A338" s="15" t="s">
        <v>20</v>
      </c>
      <c r="B338" s="16">
        <v>46168.36041666667</v>
      </c>
      <c r="C338" s="18">
        <v>202622</v>
      </c>
      <c r="D338" s="18">
        <v>25201</v>
      </c>
      <c r="E338" s="15">
        <v>1</v>
      </c>
      <c r="F338" s="15" t="s">
        <v>29</v>
      </c>
      <c r="G338" s="15">
        <v>5</v>
      </c>
      <c r="H338" s="15">
        <v>40</v>
      </c>
      <c r="I338" s="15">
        <v>3</v>
      </c>
      <c r="J338" s="15" t="s">
        <v>27</v>
      </c>
      <c r="K338" s="15">
        <v>40</v>
      </c>
      <c r="L338" s="15">
        <v>0.75</v>
      </c>
      <c r="M338" s="17">
        <v>1800</v>
      </c>
      <c r="N338" s="17">
        <f t="shared" si="28"/>
        <v>72000</v>
      </c>
      <c r="O338" s="17">
        <f t="shared" si="25"/>
        <v>720</v>
      </c>
      <c r="P338" s="17">
        <f t="shared" si="26"/>
        <v>72720</v>
      </c>
      <c r="Q338" s="19">
        <v>601</v>
      </c>
      <c r="R338" s="20"/>
    </row>
    <row r="339" spans="1:18" x14ac:dyDescent="0.25">
      <c r="A339" s="18" t="s">
        <v>20</v>
      </c>
      <c r="B339" s="22">
        <v>46168.359027777777</v>
      </c>
      <c r="C339" s="18">
        <v>202622</v>
      </c>
      <c r="D339" s="15">
        <v>26210</v>
      </c>
      <c r="E339" s="18">
        <v>4</v>
      </c>
      <c r="F339" s="18" t="s">
        <v>44</v>
      </c>
      <c r="G339" s="18">
        <v>6</v>
      </c>
      <c r="H339" s="18">
        <v>48</v>
      </c>
      <c r="I339" s="18">
        <v>1</v>
      </c>
      <c r="J339" s="18" t="s">
        <v>43</v>
      </c>
      <c r="K339" s="18">
        <v>29738</v>
      </c>
      <c r="L339" s="18">
        <v>0.41</v>
      </c>
      <c r="M339" s="17">
        <v>17</v>
      </c>
      <c r="N339" s="17">
        <f t="shared" si="28"/>
        <v>505546</v>
      </c>
      <c r="O339" s="17">
        <f t="shared" si="25"/>
        <v>5055.46</v>
      </c>
      <c r="P339" s="17">
        <f t="shared" si="26"/>
        <v>510601.46</v>
      </c>
      <c r="Q339" s="15">
        <v>602</v>
      </c>
      <c r="R339" s="20"/>
    </row>
    <row r="340" spans="1:18" x14ac:dyDescent="0.25">
      <c r="A340" s="15" t="s">
        <v>20</v>
      </c>
      <c r="B340" s="16">
        <v>46168.314583333333</v>
      </c>
      <c r="C340" s="18">
        <v>202622</v>
      </c>
      <c r="D340" s="15">
        <v>25206</v>
      </c>
      <c r="E340" s="15">
        <v>1</v>
      </c>
      <c r="F340" s="15" t="s">
        <v>50</v>
      </c>
      <c r="G340" s="15">
        <v>1</v>
      </c>
      <c r="H340" s="15">
        <v>8</v>
      </c>
      <c r="I340" s="15">
        <v>1</v>
      </c>
      <c r="J340" s="15" t="s">
        <v>27</v>
      </c>
      <c r="K340" s="15">
        <v>8</v>
      </c>
      <c r="L340" s="15">
        <v>0.14000000000000001</v>
      </c>
      <c r="M340" s="17">
        <v>1800</v>
      </c>
      <c r="N340" s="17">
        <f t="shared" si="28"/>
        <v>14400</v>
      </c>
      <c r="O340" s="17">
        <f t="shared" si="25"/>
        <v>144</v>
      </c>
      <c r="P340" s="17">
        <f t="shared" si="26"/>
        <v>14544</v>
      </c>
      <c r="Q340" s="15">
        <v>603</v>
      </c>
      <c r="R340" s="20"/>
    </row>
    <row r="341" spans="1:18" x14ac:dyDescent="0.25">
      <c r="A341" s="18" t="s">
        <v>20</v>
      </c>
      <c r="B341" s="22">
        <v>46168.313194444447</v>
      </c>
      <c r="C341" s="18">
        <v>202622</v>
      </c>
      <c r="D341" s="15">
        <v>25206</v>
      </c>
      <c r="E341" s="18">
        <v>1</v>
      </c>
      <c r="F341" s="18" t="s">
        <v>48</v>
      </c>
      <c r="G341" s="18">
        <v>1</v>
      </c>
      <c r="H341" s="18">
        <v>8</v>
      </c>
      <c r="I341" s="18">
        <v>1</v>
      </c>
      <c r="J341" s="18" t="s">
        <v>27</v>
      </c>
      <c r="K341" s="18">
        <v>8</v>
      </c>
      <c r="L341" s="18">
        <v>0.09</v>
      </c>
      <c r="M341" s="17">
        <v>1800</v>
      </c>
      <c r="N341" s="17">
        <f t="shared" si="28"/>
        <v>14400</v>
      </c>
      <c r="O341" s="17">
        <f t="shared" si="25"/>
        <v>144</v>
      </c>
      <c r="P341" s="17">
        <f t="shared" si="26"/>
        <v>14544</v>
      </c>
      <c r="Q341" s="19">
        <v>604</v>
      </c>
      <c r="R341" s="20"/>
    </row>
    <row r="342" spans="1:18" x14ac:dyDescent="0.25">
      <c r="A342" s="15" t="s">
        <v>20</v>
      </c>
      <c r="B342" s="16">
        <v>46168.311805555553</v>
      </c>
      <c r="C342" s="18">
        <v>202622</v>
      </c>
      <c r="D342" s="15">
        <v>25206</v>
      </c>
      <c r="E342" s="15">
        <v>1</v>
      </c>
      <c r="F342" s="15" t="s">
        <v>49</v>
      </c>
      <c r="G342" s="15">
        <v>4</v>
      </c>
      <c r="H342" s="15">
        <v>32</v>
      </c>
      <c r="I342" s="15">
        <v>1</v>
      </c>
      <c r="J342" s="15" t="s">
        <v>27</v>
      </c>
      <c r="K342" s="15">
        <v>32</v>
      </c>
      <c r="L342" s="15">
        <v>0.09</v>
      </c>
      <c r="M342" s="17">
        <v>1800</v>
      </c>
      <c r="N342" s="17">
        <f t="shared" si="28"/>
        <v>57600</v>
      </c>
      <c r="O342" s="17">
        <f t="shared" si="25"/>
        <v>576</v>
      </c>
      <c r="P342" s="17">
        <f t="shared" si="26"/>
        <v>58176</v>
      </c>
      <c r="Q342" s="19">
        <v>597</v>
      </c>
      <c r="R342" s="20"/>
    </row>
    <row r="343" spans="1:18" x14ac:dyDescent="0.25">
      <c r="A343" s="15" t="s">
        <v>20</v>
      </c>
      <c r="B343" s="16">
        <v>46169.318749999999</v>
      </c>
      <c r="C343" s="18">
        <v>202622</v>
      </c>
      <c r="D343" s="15">
        <v>25206</v>
      </c>
      <c r="E343" s="15">
        <v>1</v>
      </c>
      <c r="F343" s="15" t="s">
        <v>48</v>
      </c>
      <c r="G343" s="15">
        <v>1</v>
      </c>
      <c r="H343" s="15">
        <v>8</v>
      </c>
      <c r="I343" s="15">
        <v>1</v>
      </c>
      <c r="J343" s="15" t="s">
        <v>27</v>
      </c>
      <c r="K343" s="15">
        <v>8</v>
      </c>
      <c r="L343" s="15">
        <v>0.1</v>
      </c>
      <c r="M343" s="17">
        <v>1800</v>
      </c>
      <c r="N343" s="17">
        <f t="shared" si="28"/>
        <v>14400</v>
      </c>
      <c r="O343" s="17">
        <f t="shared" si="25"/>
        <v>144</v>
      </c>
      <c r="P343" s="17">
        <f t="shared" si="26"/>
        <v>14544</v>
      </c>
      <c r="Q343" s="19">
        <v>604</v>
      </c>
      <c r="R343" s="20"/>
    </row>
    <row r="344" spans="1:18" x14ac:dyDescent="0.25">
      <c r="A344" s="18" t="s">
        <v>20</v>
      </c>
      <c r="B344" s="22">
        <v>46169.316666666666</v>
      </c>
      <c r="C344" s="18">
        <v>202622</v>
      </c>
      <c r="D344" s="15">
        <v>25206</v>
      </c>
      <c r="E344" s="18">
        <v>1</v>
      </c>
      <c r="F344" s="18" t="s">
        <v>49</v>
      </c>
      <c r="G344" s="18">
        <v>5</v>
      </c>
      <c r="H344" s="18">
        <v>40</v>
      </c>
      <c r="I344" s="18">
        <v>1</v>
      </c>
      <c r="J344" s="18" t="s">
        <v>27</v>
      </c>
      <c r="K344" s="18">
        <v>40</v>
      </c>
      <c r="L344" s="18">
        <v>0.12</v>
      </c>
      <c r="M344" s="17">
        <v>1800</v>
      </c>
      <c r="N344" s="17">
        <f t="shared" si="28"/>
        <v>72000</v>
      </c>
      <c r="O344" s="17">
        <f t="shared" si="25"/>
        <v>720</v>
      </c>
      <c r="P344" s="17">
        <f t="shared" si="26"/>
        <v>72720</v>
      </c>
      <c r="Q344" s="19">
        <v>597</v>
      </c>
      <c r="R344" s="20"/>
    </row>
    <row r="345" spans="1:18" x14ac:dyDescent="0.25">
      <c r="A345" s="18" t="s">
        <v>20</v>
      </c>
      <c r="B345" s="22">
        <v>46169.456250000003</v>
      </c>
      <c r="C345" s="18">
        <v>202622</v>
      </c>
      <c r="D345" s="15">
        <v>26210</v>
      </c>
      <c r="E345" s="18">
        <v>2</v>
      </c>
      <c r="F345" s="18" t="s">
        <v>45</v>
      </c>
      <c r="G345" s="18">
        <v>2</v>
      </c>
      <c r="H345" s="18">
        <v>16</v>
      </c>
      <c r="I345" s="18">
        <v>1</v>
      </c>
      <c r="J345" s="18" t="s">
        <v>27</v>
      </c>
      <c r="K345" s="18">
        <v>16</v>
      </c>
      <c r="L345" s="18">
        <v>0.5</v>
      </c>
      <c r="M345" s="17">
        <v>1800</v>
      </c>
      <c r="N345" s="17">
        <f t="shared" si="28"/>
        <v>28800</v>
      </c>
      <c r="O345" s="17">
        <f t="shared" si="25"/>
        <v>288</v>
      </c>
      <c r="P345" s="17">
        <f t="shared" si="26"/>
        <v>29088</v>
      </c>
      <c r="Q345" s="15">
        <v>596</v>
      </c>
      <c r="R345" s="20"/>
    </row>
    <row r="346" spans="1:18" x14ac:dyDescent="0.25">
      <c r="A346" s="15" t="s">
        <v>20</v>
      </c>
      <c r="B346" s="16">
        <v>46169.45416666667</v>
      </c>
      <c r="C346" s="18">
        <v>202622</v>
      </c>
      <c r="D346" s="15">
        <v>26210</v>
      </c>
      <c r="E346" s="15">
        <v>4</v>
      </c>
      <c r="F346" s="15" t="s">
        <v>22</v>
      </c>
      <c r="G346" s="15">
        <v>1</v>
      </c>
      <c r="H346" s="15">
        <v>8</v>
      </c>
      <c r="I346" s="15">
        <v>1</v>
      </c>
      <c r="J346" s="15" t="s">
        <v>43</v>
      </c>
      <c r="K346" s="15">
        <v>1</v>
      </c>
      <c r="L346" s="15">
        <v>0.01</v>
      </c>
      <c r="M346" s="17">
        <v>60000</v>
      </c>
      <c r="N346" s="17">
        <f t="shared" si="28"/>
        <v>60000</v>
      </c>
      <c r="O346" s="17">
        <f t="shared" si="25"/>
        <v>600</v>
      </c>
      <c r="P346" s="17">
        <f t="shared" si="26"/>
        <v>60600</v>
      </c>
      <c r="Q346" s="15">
        <v>598</v>
      </c>
      <c r="R346" s="20"/>
    </row>
    <row r="347" spans="1:18" x14ac:dyDescent="0.25">
      <c r="A347" s="18" t="s">
        <v>20</v>
      </c>
      <c r="B347" s="22">
        <v>46169.45208333333</v>
      </c>
      <c r="C347" s="18">
        <v>202622</v>
      </c>
      <c r="D347" s="15">
        <v>26210</v>
      </c>
      <c r="E347" s="18">
        <v>3</v>
      </c>
      <c r="F347" s="18" t="s">
        <v>30</v>
      </c>
      <c r="G347" s="18">
        <v>1</v>
      </c>
      <c r="H347" s="18">
        <v>8</v>
      </c>
      <c r="I347" s="18">
        <v>1</v>
      </c>
      <c r="J347" s="18" t="s">
        <v>31</v>
      </c>
      <c r="K347" s="18">
        <v>6</v>
      </c>
      <c r="L347" s="18">
        <v>0.42</v>
      </c>
      <c r="M347" s="17">
        <v>4000</v>
      </c>
      <c r="N347" s="17">
        <f t="shared" si="28"/>
        <v>24000</v>
      </c>
      <c r="O347" s="17">
        <f t="shared" si="25"/>
        <v>240</v>
      </c>
      <c r="P347" s="17">
        <f t="shared" si="26"/>
        <v>24240</v>
      </c>
      <c r="Q347" s="15">
        <v>600</v>
      </c>
      <c r="R347" s="20"/>
    </row>
    <row r="348" spans="1:18" x14ac:dyDescent="0.25">
      <c r="A348" s="15" t="s">
        <v>20</v>
      </c>
      <c r="B348" s="16">
        <v>46169.447222222225</v>
      </c>
      <c r="C348" s="18">
        <v>202622</v>
      </c>
      <c r="D348" s="15">
        <v>26210</v>
      </c>
      <c r="E348" s="15">
        <v>1</v>
      </c>
      <c r="F348" s="15" t="s">
        <v>29</v>
      </c>
      <c r="G348" s="15">
        <v>4</v>
      </c>
      <c r="H348" s="15">
        <v>32</v>
      </c>
      <c r="I348" s="15">
        <v>1</v>
      </c>
      <c r="J348" s="15" t="s">
        <v>27</v>
      </c>
      <c r="K348" s="15">
        <v>48</v>
      </c>
      <c r="L348" s="15">
        <v>0.3</v>
      </c>
      <c r="M348" s="17">
        <v>1800</v>
      </c>
      <c r="N348" s="17">
        <f t="shared" si="28"/>
        <v>86400</v>
      </c>
      <c r="O348" s="17">
        <f t="shared" si="25"/>
        <v>864</v>
      </c>
      <c r="P348" s="17">
        <f t="shared" si="26"/>
        <v>87264</v>
      </c>
      <c r="Q348" s="15">
        <v>601</v>
      </c>
      <c r="R348" s="20"/>
    </row>
    <row r="349" spans="1:18" x14ac:dyDescent="0.25">
      <c r="A349" s="18" t="s">
        <v>20</v>
      </c>
      <c r="B349" s="22">
        <v>46169.445138888892</v>
      </c>
      <c r="C349" s="18">
        <v>202622</v>
      </c>
      <c r="D349" s="18">
        <v>25201</v>
      </c>
      <c r="E349" s="18">
        <v>1</v>
      </c>
      <c r="F349" s="18" t="s">
        <v>29</v>
      </c>
      <c r="G349" s="18">
        <v>5</v>
      </c>
      <c r="H349" s="18">
        <v>40</v>
      </c>
      <c r="I349" s="18">
        <v>3</v>
      </c>
      <c r="J349" s="18" t="s">
        <v>27</v>
      </c>
      <c r="K349" s="18">
        <v>40</v>
      </c>
      <c r="L349" s="18">
        <v>1.05</v>
      </c>
      <c r="M349" s="17">
        <v>1800</v>
      </c>
      <c r="N349" s="17">
        <f t="shared" si="28"/>
        <v>72000</v>
      </c>
      <c r="O349" s="17">
        <f t="shared" si="25"/>
        <v>720</v>
      </c>
      <c r="P349" s="17">
        <f t="shared" si="26"/>
        <v>72720</v>
      </c>
      <c r="Q349" s="15">
        <v>601</v>
      </c>
      <c r="R349" s="20"/>
    </row>
    <row r="350" spans="1:18" x14ac:dyDescent="0.25">
      <c r="A350" s="15" t="s">
        <v>20</v>
      </c>
      <c r="B350" s="16">
        <v>46169.443055555559</v>
      </c>
      <c r="C350" s="18">
        <v>202622</v>
      </c>
      <c r="D350" s="15">
        <v>26210</v>
      </c>
      <c r="E350" s="15">
        <v>4</v>
      </c>
      <c r="F350" s="15" t="s">
        <v>44</v>
      </c>
      <c r="G350" s="15">
        <v>6</v>
      </c>
      <c r="H350" s="15">
        <v>48</v>
      </c>
      <c r="I350" s="15">
        <v>1</v>
      </c>
      <c r="J350" s="15" t="s">
        <v>43</v>
      </c>
      <c r="K350" s="15">
        <v>30224</v>
      </c>
      <c r="L350" s="15">
        <v>0.42</v>
      </c>
      <c r="M350" s="17">
        <v>17</v>
      </c>
      <c r="N350" s="17">
        <f t="shared" si="28"/>
        <v>513808</v>
      </c>
      <c r="O350" s="17">
        <f t="shared" si="25"/>
        <v>5138.08</v>
      </c>
      <c r="P350" s="17">
        <f t="shared" si="26"/>
        <v>518946.08</v>
      </c>
      <c r="Q350" s="15">
        <v>602</v>
      </c>
      <c r="R350" s="20"/>
    </row>
    <row r="351" spans="1:18" x14ac:dyDescent="0.25">
      <c r="A351" s="15" t="s">
        <v>20</v>
      </c>
      <c r="B351" s="16">
        <v>46170.44027777778</v>
      </c>
      <c r="C351" s="18">
        <v>202622</v>
      </c>
      <c r="D351" s="15">
        <v>25206</v>
      </c>
      <c r="E351" s="15">
        <v>1</v>
      </c>
      <c r="F351" s="15" t="s">
        <v>50</v>
      </c>
      <c r="G351" s="15">
        <v>1</v>
      </c>
      <c r="H351" s="15">
        <v>8</v>
      </c>
      <c r="I351" s="15">
        <v>1</v>
      </c>
      <c r="J351" s="15" t="s">
        <v>27</v>
      </c>
      <c r="K351" s="15">
        <v>8</v>
      </c>
      <c r="L351" s="15">
        <v>0.1</v>
      </c>
      <c r="M351" s="17">
        <v>1800</v>
      </c>
      <c r="N351" s="17">
        <f t="shared" si="28"/>
        <v>14400</v>
      </c>
      <c r="O351" s="17">
        <f t="shared" si="25"/>
        <v>144</v>
      </c>
      <c r="P351" s="17">
        <f t="shared" si="26"/>
        <v>14544</v>
      </c>
      <c r="Q351" s="15">
        <v>603</v>
      </c>
      <c r="R351" s="20"/>
    </row>
    <row r="352" spans="1:18" x14ac:dyDescent="0.25">
      <c r="A352" s="18" t="s">
        <v>20</v>
      </c>
      <c r="B352" s="22">
        <v>46170.438194444447</v>
      </c>
      <c r="C352" s="18">
        <v>202622</v>
      </c>
      <c r="D352" s="15">
        <v>25206</v>
      </c>
      <c r="E352" s="18">
        <v>1</v>
      </c>
      <c r="F352" s="18" t="s">
        <v>48</v>
      </c>
      <c r="G352" s="18">
        <v>1</v>
      </c>
      <c r="H352" s="18">
        <v>8</v>
      </c>
      <c r="I352" s="18">
        <v>1</v>
      </c>
      <c r="J352" s="18" t="s">
        <v>27</v>
      </c>
      <c r="K352" s="18">
        <v>8</v>
      </c>
      <c r="L352" s="18">
        <v>0.09</v>
      </c>
      <c r="M352" s="17">
        <v>1800</v>
      </c>
      <c r="N352" s="17">
        <f t="shared" si="28"/>
        <v>14400</v>
      </c>
      <c r="O352" s="17">
        <f t="shared" si="25"/>
        <v>144</v>
      </c>
      <c r="P352" s="17">
        <f t="shared" si="26"/>
        <v>14544</v>
      </c>
      <c r="Q352" s="15">
        <v>604</v>
      </c>
      <c r="R352" s="20"/>
    </row>
    <row r="353" spans="1:18" x14ac:dyDescent="0.25">
      <c r="A353" s="15" t="s">
        <v>20</v>
      </c>
      <c r="B353" s="16">
        <v>46170.436805555553</v>
      </c>
      <c r="C353" s="18">
        <v>202622</v>
      </c>
      <c r="D353" s="15">
        <v>25206</v>
      </c>
      <c r="E353" s="15">
        <v>1</v>
      </c>
      <c r="F353" s="15" t="s">
        <v>49</v>
      </c>
      <c r="G353" s="15">
        <v>3</v>
      </c>
      <c r="H353" s="15">
        <v>24</v>
      </c>
      <c r="I353" s="15">
        <v>1</v>
      </c>
      <c r="J353" s="15" t="s">
        <v>27</v>
      </c>
      <c r="K353" s="15">
        <v>24</v>
      </c>
      <c r="L353" s="15">
        <v>7.0000000000000007E-2</v>
      </c>
      <c r="M353" s="17">
        <v>1800</v>
      </c>
      <c r="N353" s="17">
        <f t="shared" si="28"/>
        <v>43200</v>
      </c>
      <c r="O353" s="17">
        <f t="shared" si="25"/>
        <v>432</v>
      </c>
      <c r="P353" s="17">
        <f t="shared" si="26"/>
        <v>43632</v>
      </c>
      <c r="Q353" s="15">
        <v>597</v>
      </c>
      <c r="R353" s="20"/>
    </row>
    <row r="354" spans="1:18" x14ac:dyDescent="0.25">
      <c r="A354" s="18" t="s">
        <v>20</v>
      </c>
      <c r="B354" s="22">
        <v>46170.505555555559</v>
      </c>
      <c r="C354" s="18">
        <v>202622</v>
      </c>
      <c r="D354" s="15">
        <v>26210</v>
      </c>
      <c r="E354" s="18">
        <v>2</v>
      </c>
      <c r="F354" s="18" t="s">
        <v>45</v>
      </c>
      <c r="G354" s="18">
        <v>2</v>
      </c>
      <c r="H354" s="18">
        <v>6</v>
      </c>
      <c r="I354" s="18">
        <v>1</v>
      </c>
      <c r="J354" s="18" t="s">
        <v>27</v>
      </c>
      <c r="K354" s="18">
        <v>6</v>
      </c>
      <c r="L354" s="18">
        <v>0.4</v>
      </c>
      <c r="M354" s="17">
        <v>1800</v>
      </c>
      <c r="N354" s="17">
        <f t="shared" si="28"/>
        <v>10800</v>
      </c>
      <c r="O354" s="17">
        <f t="shared" si="25"/>
        <v>108</v>
      </c>
      <c r="P354" s="17">
        <f t="shared" si="26"/>
        <v>10908</v>
      </c>
      <c r="Q354" s="15">
        <v>596</v>
      </c>
      <c r="R354" s="20"/>
    </row>
    <row r="355" spans="1:18" x14ac:dyDescent="0.25">
      <c r="A355" s="15" t="s">
        <v>20</v>
      </c>
      <c r="B355" s="16">
        <v>46170.503472222219</v>
      </c>
      <c r="C355" s="18">
        <v>202622</v>
      </c>
      <c r="D355" s="15">
        <v>26210</v>
      </c>
      <c r="E355" s="15">
        <v>3</v>
      </c>
      <c r="F355" s="15" t="s">
        <v>30</v>
      </c>
      <c r="G355" s="15">
        <v>1</v>
      </c>
      <c r="H355" s="15">
        <v>8</v>
      </c>
      <c r="I355" s="15">
        <v>1</v>
      </c>
      <c r="J355" s="15" t="s">
        <v>31</v>
      </c>
      <c r="K355" s="15">
        <v>6</v>
      </c>
      <c r="L355" s="15">
        <v>0.42</v>
      </c>
      <c r="M355" s="17">
        <v>4000</v>
      </c>
      <c r="N355" s="17">
        <f t="shared" si="28"/>
        <v>24000</v>
      </c>
      <c r="O355" s="17">
        <f t="shared" si="25"/>
        <v>240</v>
      </c>
      <c r="P355" s="17">
        <f t="shared" si="26"/>
        <v>24240</v>
      </c>
      <c r="Q355" s="15">
        <v>600</v>
      </c>
      <c r="R355" s="20"/>
    </row>
    <row r="356" spans="1:18" x14ac:dyDescent="0.25">
      <c r="A356" s="18" t="s">
        <v>20</v>
      </c>
      <c r="B356" s="22">
        <v>46170.500694444447</v>
      </c>
      <c r="C356" s="18">
        <v>202622</v>
      </c>
      <c r="D356" s="15">
        <v>26210</v>
      </c>
      <c r="E356" s="18">
        <v>2</v>
      </c>
      <c r="F356" s="18" t="s">
        <v>29</v>
      </c>
      <c r="G356" s="18">
        <v>12</v>
      </c>
      <c r="H356" s="18">
        <v>88</v>
      </c>
      <c r="I356" s="18">
        <v>1</v>
      </c>
      <c r="J356" s="18" t="s">
        <v>27</v>
      </c>
      <c r="K356" s="18">
        <v>80</v>
      </c>
      <c r="L356" s="18">
        <v>0.4</v>
      </c>
      <c r="M356" s="17">
        <v>1800</v>
      </c>
      <c r="N356" s="17">
        <f t="shared" si="28"/>
        <v>144000</v>
      </c>
      <c r="O356" s="17">
        <f t="shared" si="25"/>
        <v>1440</v>
      </c>
      <c r="P356" s="17">
        <f t="shared" si="26"/>
        <v>145440</v>
      </c>
      <c r="Q356" s="15">
        <v>601</v>
      </c>
      <c r="R356" s="20"/>
    </row>
    <row r="357" spans="1:18" x14ac:dyDescent="0.25">
      <c r="A357" s="15" t="s">
        <v>20</v>
      </c>
      <c r="B357" s="16">
        <v>46170.499305555553</v>
      </c>
      <c r="C357" s="18">
        <v>202622</v>
      </c>
      <c r="D357" s="15">
        <v>26210</v>
      </c>
      <c r="E357" s="15">
        <v>4</v>
      </c>
      <c r="F357" s="15" t="s">
        <v>44</v>
      </c>
      <c r="G357" s="15">
        <v>7</v>
      </c>
      <c r="H357" s="15">
        <v>56</v>
      </c>
      <c r="I357" s="15">
        <v>1</v>
      </c>
      <c r="J357" s="15" t="s">
        <v>43</v>
      </c>
      <c r="K357" s="15">
        <v>30555</v>
      </c>
      <c r="L357" s="15">
        <v>0.43</v>
      </c>
      <c r="M357" s="17">
        <v>17</v>
      </c>
      <c r="N357" s="17">
        <f t="shared" si="28"/>
        <v>519435</v>
      </c>
      <c r="O357" s="17">
        <f t="shared" si="25"/>
        <v>5194.3500000000004</v>
      </c>
      <c r="P357" s="17">
        <f t="shared" si="26"/>
        <v>524629.35</v>
      </c>
      <c r="Q357" s="15">
        <v>602</v>
      </c>
      <c r="R357" s="20"/>
    </row>
    <row r="358" spans="1:18" x14ac:dyDescent="0.25">
      <c r="A358" s="18" t="s">
        <v>20</v>
      </c>
      <c r="B358" s="22">
        <v>46171.578472222223</v>
      </c>
      <c r="C358" s="18">
        <v>202622</v>
      </c>
      <c r="D358" s="15">
        <v>25206</v>
      </c>
      <c r="E358" s="18">
        <v>1</v>
      </c>
      <c r="F358" s="18" t="s">
        <v>48</v>
      </c>
      <c r="G358" s="18">
        <v>1</v>
      </c>
      <c r="H358" s="18">
        <v>8</v>
      </c>
      <c r="I358" s="18">
        <v>1</v>
      </c>
      <c r="J358" s="18" t="s">
        <v>27</v>
      </c>
      <c r="K358" s="18">
        <v>8</v>
      </c>
      <c r="L358" s="18">
        <v>0.12</v>
      </c>
      <c r="M358" s="17">
        <v>1800</v>
      </c>
      <c r="N358" s="17">
        <f t="shared" si="28"/>
        <v>14400</v>
      </c>
      <c r="O358" s="17">
        <f t="shared" si="25"/>
        <v>144</v>
      </c>
      <c r="P358" s="17">
        <f t="shared" si="26"/>
        <v>14544</v>
      </c>
      <c r="Q358" s="15">
        <v>604</v>
      </c>
      <c r="R358" s="20"/>
    </row>
    <row r="359" spans="1:18" x14ac:dyDescent="0.25">
      <c r="A359" s="15" t="s">
        <v>20</v>
      </c>
      <c r="B359" s="16">
        <v>46171.57708333333</v>
      </c>
      <c r="C359" s="18">
        <v>202622</v>
      </c>
      <c r="D359" s="15">
        <v>25206</v>
      </c>
      <c r="E359" s="15">
        <v>1</v>
      </c>
      <c r="F359" s="15" t="s">
        <v>50</v>
      </c>
      <c r="G359" s="15">
        <v>1</v>
      </c>
      <c r="H359" s="15">
        <v>8</v>
      </c>
      <c r="I359" s="15">
        <v>1</v>
      </c>
      <c r="J359" s="15" t="s">
        <v>27</v>
      </c>
      <c r="K359" s="15">
        <v>8</v>
      </c>
      <c r="L359" s="15">
        <v>0.14000000000000001</v>
      </c>
      <c r="M359" s="17">
        <v>1800</v>
      </c>
      <c r="N359" s="17">
        <f t="shared" si="28"/>
        <v>14400</v>
      </c>
      <c r="O359" s="17">
        <f t="shared" si="25"/>
        <v>144</v>
      </c>
      <c r="P359" s="17">
        <f t="shared" si="26"/>
        <v>14544</v>
      </c>
      <c r="Q359" s="15">
        <v>603</v>
      </c>
      <c r="R359" s="20"/>
    </row>
    <row r="360" spans="1:18" x14ac:dyDescent="0.25">
      <c r="A360" s="18" t="s">
        <v>20</v>
      </c>
      <c r="B360" s="22">
        <v>46171.575694444444</v>
      </c>
      <c r="C360" s="18">
        <v>202622</v>
      </c>
      <c r="D360" s="15">
        <v>25206</v>
      </c>
      <c r="E360" s="18">
        <v>1</v>
      </c>
      <c r="F360" s="18" t="s">
        <v>49</v>
      </c>
      <c r="G360" s="18">
        <v>5</v>
      </c>
      <c r="H360" s="18">
        <v>40</v>
      </c>
      <c r="I360" s="18">
        <v>1</v>
      </c>
      <c r="J360" s="18" t="s">
        <v>27</v>
      </c>
      <c r="K360" s="18">
        <v>40</v>
      </c>
      <c r="L360" s="18">
        <v>0.12</v>
      </c>
      <c r="M360" s="17">
        <v>1800</v>
      </c>
      <c r="N360" s="17">
        <f t="shared" si="28"/>
        <v>72000</v>
      </c>
      <c r="O360" s="17">
        <f t="shared" si="25"/>
        <v>720</v>
      </c>
      <c r="P360" s="17">
        <f t="shared" si="26"/>
        <v>72720</v>
      </c>
      <c r="Q360" s="15">
        <v>597</v>
      </c>
      <c r="R360" s="20"/>
    </row>
    <row r="361" spans="1:18" x14ac:dyDescent="0.25">
      <c r="A361" s="18" t="s">
        <v>20</v>
      </c>
      <c r="B361" s="22">
        <v>46171.331944444442</v>
      </c>
      <c r="C361" s="18">
        <v>202622</v>
      </c>
      <c r="D361" s="15">
        <v>26210</v>
      </c>
      <c r="E361" s="18">
        <v>4</v>
      </c>
      <c r="F361" s="18" t="s">
        <v>22</v>
      </c>
      <c r="G361" s="18">
        <v>1</v>
      </c>
      <c r="H361" s="18">
        <v>8</v>
      </c>
      <c r="I361" s="18">
        <v>1</v>
      </c>
      <c r="J361" s="18" t="s">
        <v>43</v>
      </c>
      <c r="K361" s="18">
        <v>1</v>
      </c>
      <c r="L361" s="18">
        <v>0.01</v>
      </c>
      <c r="M361" s="17">
        <v>60000</v>
      </c>
      <c r="N361" s="17">
        <f t="shared" si="28"/>
        <v>60000</v>
      </c>
      <c r="O361" s="17">
        <f t="shared" si="25"/>
        <v>600</v>
      </c>
      <c r="P361" s="17">
        <f t="shared" si="26"/>
        <v>60600</v>
      </c>
      <c r="Q361" s="15">
        <v>598</v>
      </c>
      <c r="R361" s="20"/>
    </row>
    <row r="362" spans="1:18" x14ac:dyDescent="0.25">
      <c r="A362" s="15" t="s">
        <v>20</v>
      </c>
      <c r="B362" s="16">
        <v>46171.32916666667</v>
      </c>
      <c r="C362" s="18">
        <v>202622</v>
      </c>
      <c r="D362" s="15">
        <v>26210</v>
      </c>
      <c r="E362" s="15">
        <v>2</v>
      </c>
      <c r="F362" s="15" t="s">
        <v>29</v>
      </c>
      <c r="G362" s="15">
        <v>11</v>
      </c>
      <c r="H362" s="15">
        <v>88</v>
      </c>
      <c r="I362" s="15">
        <v>1</v>
      </c>
      <c r="J362" s="15" t="s">
        <v>27</v>
      </c>
      <c r="K362" s="15">
        <v>88</v>
      </c>
      <c r="L362" s="15">
        <v>0.22</v>
      </c>
      <c r="M362" s="17">
        <v>1800</v>
      </c>
      <c r="N362" s="17">
        <f t="shared" si="28"/>
        <v>158400</v>
      </c>
      <c r="O362" s="17">
        <f t="shared" si="25"/>
        <v>1584</v>
      </c>
      <c r="P362" s="17">
        <f t="shared" si="26"/>
        <v>159984</v>
      </c>
      <c r="Q362" s="15">
        <v>601</v>
      </c>
      <c r="R362" s="20"/>
    </row>
    <row r="363" spans="1:18" x14ac:dyDescent="0.25">
      <c r="A363" s="18" t="s">
        <v>20</v>
      </c>
      <c r="B363" s="22">
        <v>46171.327777777777</v>
      </c>
      <c r="C363" s="18">
        <v>202622</v>
      </c>
      <c r="D363" s="15">
        <v>26210</v>
      </c>
      <c r="E363" s="18">
        <v>4</v>
      </c>
      <c r="F363" s="18" t="s">
        <v>44</v>
      </c>
      <c r="G363" s="18">
        <v>2</v>
      </c>
      <c r="H363" s="18">
        <v>8</v>
      </c>
      <c r="I363" s="18">
        <v>1</v>
      </c>
      <c r="J363" s="18" t="s">
        <v>43</v>
      </c>
      <c r="K363" s="18">
        <v>4510</v>
      </c>
      <c r="L363" s="18">
        <v>0.06</v>
      </c>
      <c r="M363" s="17">
        <v>17</v>
      </c>
      <c r="N363" s="17">
        <f>+K363*M363</f>
        <v>76670</v>
      </c>
      <c r="O363" s="17">
        <f t="shared" si="25"/>
        <v>766.7</v>
      </c>
      <c r="P363" s="17">
        <f t="shared" si="26"/>
        <v>77436.7</v>
      </c>
      <c r="Q363" s="15">
        <v>602</v>
      </c>
      <c r="R363" s="20"/>
    </row>
    <row r="364" spans="1:18" x14ac:dyDescent="0.25">
      <c r="A364" s="18" t="s">
        <v>20</v>
      </c>
      <c r="B364" s="22">
        <v>46172.379861111112</v>
      </c>
      <c r="C364" s="18">
        <v>202622</v>
      </c>
      <c r="D364" s="15">
        <v>26210</v>
      </c>
      <c r="E364" s="18">
        <v>4</v>
      </c>
      <c r="F364" s="18" t="s">
        <v>22</v>
      </c>
      <c r="G364" s="18">
        <v>1</v>
      </c>
      <c r="H364" s="18">
        <v>8</v>
      </c>
      <c r="I364" s="18">
        <v>1</v>
      </c>
      <c r="J364" s="18" t="s">
        <v>43</v>
      </c>
      <c r="K364" s="18">
        <v>1</v>
      </c>
      <c r="L364" s="18">
        <v>0.01</v>
      </c>
      <c r="M364" s="17">
        <v>60000</v>
      </c>
      <c r="N364" s="17">
        <f>+K364*M364</f>
        <v>60000</v>
      </c>
      <c r="O364" s="17">
        <f t="shared" si="25"/>
        <v>600</v>
      </c>
      <c r="P364" s="17">
        <f t="shared" si="26"/>
        <v>60600</v>
      </c>
      <c r="Q364" s="15">
        <v>598</v>
      </c>
      <c r="R364" s="20"/>
    </row>
    <row r="365" spans="1:18" x14ac:dyDescent="0.25">
      <c r="A365" s="15" t="s">
        <v>20</v>
      </c>
      <c r="B365" s="16">
        <v>46172.378472222219</v>
      </c>
      <c r="C365" s="18">
        <v>202622</v>
      </c>
      <c r="D365" s="15">
        <v>26210</v>
      </c>
      <c r="E365" s="15">
        <v>3</v>
      </c>
      <c r="F365" s="15" t="s">
        <v>30</v>
      </c>
      <c r="G365" s="15">
        <v>1</v>
      </c>
      <c r="H365" s="15">
        <v>8</v>
      </c>
      <c r="I365" s="15">
        <v>1</v>
      </c>
      <c r="J365" s="15" t="s">
        <v>31</v>
      </c>
      <c r="K365" s="15">
        <v>6</v>
      </c>
      <c r="L365" s="15">
        <v>0.41</v>
      </c>
      <c r="M365" s="17">
        <v>4000</v>
      </c>
      <c r="N365" s="17">
        <f t="shared" ref="N365:N401" si="29">+K365*M365</f>
        <v>24000</v>
      </c>
      <c r="O365" s="17">
        <f t="shared" si="25"/>
        <v>240</v>
      </c>
      <c r="P365" s="17">
        <f t="shared" si="26"/>
        <v>24240</v>
      </c>
      <c r="Q365" s="15">
        <v>600</v>
      </c>
      <c r="R365" s="20"/>
    </row>
    <row r="366" spans="1:18" x14ac:dyDescent="0.25">
      <c r="A366" s="18" t="s">
        <v>20</v>
      </c>
      <c r="B366" s="22">
        <v>46172.375694444447</v>
      </c>
      <c r="C366" s="18">
        <v>202622</v>
      </c>
      <c r="D366" s="15">
        <v>26210</v>
      </c>
      <c r="E366" s="18">
        <v>2</v>
      </c>
      <c r="F366" s="18" t="s">
        <v>29</v>
      </c>
      <c r="G366" s="18">
        <v>8</v>
      </c>
      <c r="H366" s="18">
        <v>64</v>
      </c>
      <c r="I366" s="18">
        <v>1</v>
      </c>
      <c r="J366" s="18" t="s">
        <v>27</v>
      </c>
      <c r="K366" s="18">
        <v>64</v>
      </c>
      <c r="L366" s="18">
        <v>0.18</v>
      </c>
      <c r="M366" s="17">
        <v>1800</v>
      </c>
      <c r="N366" s="17">
        <f t="shared" si="29"/>
        <v>115200</v>
      </c>
      <c r="O366" s="17">
        <f t="shared" si="25"/>
        <v>1152</v>
      </c>
      <c r="P366" s="17">
        <f t="shared" si="26"/>
        <v>116352</v>
      </c>
      <c r="Q366" s="15">
        <v>601</v>
      </c>
      <c r="R366" s="20"/>
    </row>
    <row r="367" spans="1:18" x14ac:dyDescent="0.25">
      <c r="A367" s="15" t="s">
        <v>20</v>
      </c>
      <c r="B367" s="16">
        <v>46172.37222222222</v>
      </c>
      <c r="C367" s="18">
        <v>202622</v>
      </c>
      <c r="D367" s="15">
        <v>26210</v>
      </c>
      <c r="E367" s="15">
        <v>4</v>
      </c>
      <c r="F367" s="15" t="s">
        <v>44</v>
      </c>
      <c r="G367" s="15">
        <v>7</v>
      </c>
      <c r="H367" s="15">
        <v>56</v>
      </c>
      <c r="I367" s="15">
        <v>1</v>
      </c>
      <c r="J367" s="15" t="s">
        <v>43</v>
      </c>
      <c r="K367" s="15">
        <v>28822</v>
      </c>
      <c r="L367" s="15">
        <v>0.4</v>
      </c>
      <c r="M367" s="17">
        <v>17</v>
      </c>
      <c r="N367" s="17">
        <f t="shared" si="29"/>
        <v>489974</v>
      </c>
      <c r="O367" s="17">
        <f t="shared" si="25"/>
        <v>4899.74</v>
      </c>
      <c r="P367" s="17">
        <f t="shared" si="26"/>
        <v>494873.74</v>
      </c>
      <c r="Q367" s="15">
        <v>602</v>
      </c>
      <c r="R367" s="20"/>
    </row>
    <row r="368" spans="1:18" x14ac:dyDescent="0.25">
      <c r="A368" s="18" t="s">
        <v>20</v>
      </c>
      <c r="B368" s="22">
        <v>46172.332638888889</v>
      </c>
      <c r="C368" s="18">
        <v>202622</v>
      </c>
      <c r="D368" s="15">
        <v>25206</v>
      </c>
      <c r="E368" s="18">
        <v>1</v>
      </c>
      <c r="F368" s="18" t="s">
        <v>49</v>
      </c>
      <c r="G368" s="18">
        <v>3</v>
      </c>
      <c r="H368" s="18">
        <v>24</v>
      </c>
      <c r="I368" s="18">
        <v>1</v>
      </c>
      <c r="J368" s="18" t="s">
        <v>27</v>
      </c>
      <c r="K368" s="18">
        <v>24</v>
      </c>
      <c r="L368" s="18">
        <v>0.06</v>
      </c>
      <c r="M368" s="17">
        <v>1800</v>
      </c>
      <c r="N368" s="17">
        <f t="shared" si="29"/>
        <v>43200</v>
      </c>
      <c r="O368" s="17">
        <f t="shared" si="25"/>
        <v>432</v>
      </c>
      <c r="P368" s="17">
        <f t="shared" si="26"/>
        <v>43632</v>
      </c>
      <c r="Q368" s="15">
        <v>597</v>
      </c>
      <c r="R368" s="20"/>
    </row>
    <row r="369" spans="1:18" x14ac:dyDescent="0.25">
      <c r="A369" s="18" t="s">
        <v>20</v>
      </c>
      <c r="B369" s="22">
        <v>46167.36041666667</v>
      </c>
      <c r="C369" s="18">
        <v>202622</v>
      </c>
      <c r="D369" s="18">
        <v>26301</v>
      </c>
      <c r="E369" s="18">
        <v>1</v>
      </c>
      <c r="F369" s="18" t="s">
        <v>52</v>
      </c>
      <c r="G369" s="18">
        <v>4</v>
      </c>
      <c r="H369" s="18">
        <v>32</v>
      </c>
      <c r="I369" s="18">
        <v>1</v>
      </c>
      <c r="J369" s="18" t="s">
        <v>31</v>
      </c>
      <c r="K369" s="18">
        <v>49</v>
      </c>
      <c r="L369" s="18">
        <v>0.2</v>
      </c>
      <c r="M369" s="17">
        <v>3000</v>
      </c>
      <c r="N369" s="17">
        <f t="shared" si="29"/>
        <v>147000</v>
      </c>
      <c r="O369" s="17">
        <f t="shared" si="25"/>
        <v>1470</v>
      </c>
      <c r="P369" s="17">
        <f t="shared" si="26"/>
        <v>148470</v>
      </c>
      <c r="Q369" s="20"/>
      <c r="R369" s="20"/>
    </row>
    <row r="370" spans="1:18" x14ac:dyDescent="0.25">
      <c r="A370" s="15" t="s">
        <v>20</v>
      </c>
      <c r="B370" s="16">
        <v>46168.317361111112</v>
      </c>
      <c r="C370" s="18">
        <v>202622</v>
      </c>
      <c r="D370" s="18">
        <v>26301</v>
      </c>
      <c r="E370" s="15">
        <v>1</v>
      </c>
      <c r="F370" s="15" t="s">
        <v>52</v>
      </c>
      <c r="G370" s="15">
        <v>4</v>
      </c>
      <c r="H370" s="15">
        <v>32</v>
      </c>
      <c r="I370" s="15">
        <v>1</v>
      </c>
      <c r="J370" s="15" t="s">
        <v>31</v>
      </c>
      <c r="K370" s="15">
        <v>41</v>
      </c>
      <c r="L370" s="15">
        <v>2</v>
      </c>
      <c r="M370" s="17">
        <v>3000</v>
      </c>
      <c r="N370" s="17">
        <f t="shared" si="29"/>
        <v>123000</v>
      </c>
      <c r="O370" s="17">
        <f t="shared" si="25"/>
        <v>1230</v>
      </c>
      <c r="P370" s="17">
        <f t="shared" si="26"/>
        <v>124230</v>
      </c>
      <c r="Q370" s="20"/>
      <c r="R370" s="20"/>
    </row>
    <row r="371" spans="1:18" x14ac:dyDescent="0.25">
      <c r="A371" s="18" t="s">
        <v>20</v>
      </c>
      <c r="B371" s="22">
        <v>46169.320833333331</v>
      </c>
      <c r="C371" s="18">
        <v>202622</v>
      </c>
      <c r="D371" s="18">
        <v>26301</v>
      </c>
      <c r="E371" s="18">
        <v>1</v>
      </c>
      <c r="F371" s="18" t="s">
        <v>52</v>
      </c>
      <c r="G371" s="18">
        <v>4</v>
      </c>
      <c r="H371" s="18">
        <v>32</v>
      </c>
      <c r="I371" s="18">
        <v>1</v>
      </c>
      <c r="J371" s="18" t="s">
        <v>31</v>
      </c>
      <c r="K371" s="18">
        <v>17</v>
      </c>
      <c r="L371" s="18">
        <v>0.5</v>
      </c>
      <c r="M371" s="17">
        <v>3000</v>
      </c>
      <c r="N371" s="17">
        <f t="shared" si="29"/>
        <v>51000</v>
      </c>
      <c r="O371" s="17">
        <f t="shared" si="25"/>
        <v>510</v>
      </c>
      <c r="P371" s="17">
        <f t="shared" si="26"/>
        <v>51510</v>
      </c>
      <c r="Q371" s="20"/>
      <c r="R371" s="20"/>
    </row>
    <row r="372" spans="1:18" x14ac:dyDescent="0.25">
      <c r="A372" s="18" t="s">
        <v>20</v>
      </c>
      <c r="B372" s="22">
        <v>46170.443749999999</v>
      </c>
      <c r="C372" s="18">
        <v>202622</v>
      </c>
      <c r="D372" s="18">
        <v>26301</v>
      </c>
      <c r="E372" s="18">
        <v>1</v>
      </c>
      <c r="F372" s="18" t="s">
        <v>52</v>
      </c>
      <c r="G372" s="18">
        <v>6</v>
      </c>
      <c r="H372" s="18">
        <v>48</v>
      </c>
      <c r="I372" s="18">
        <v>1</v>
      </c>
      <c r="J372" s="18" t="s">
        <v>31</v>
      </c>
      <c r="K372" s="18">
        <v>51</v>
      </c>
      <c r="L372" s="18">
        <v>2</v>
      </c>
      <c r="M372" s="17">
        <v>3000</v>
      </c>
      <c r="N372" s="17">
        <f t="shared" si="29"/>
        <v>153000</v>
      </c>
      <c r="O372" s="17">
        <f t="shared" si="25"/>
        <v>1530</v>
      </c>
      <c r="P372" s="17">
        <f t="shared" si="26"/>
        <v>154530</v>
      </c>
      <c r="Q372" s="20"/>
      <c r="R372" s="20"/>
    </row>
    <row r="373" spans="1:18" x14ac:dyDescent="0.25">
      <c r="A373" s="18" t="s">
        <v>20</v>
      </c>
      <c r="B373" s="22">
        <v>46171.579861111109</v>
      </c>
      <c r="C373" s="18">
        <v>202622</v>
      </c>
      <c r="D373" s="18">
        <v>26301</v>
      </c>
      <c r="E373" s="18">
        <v>1</v>
      </c>
      <c r="F373" s="18" t="s">
        <v>52</v>
      </c>
      <c r="G373" s="18">
        <v>6</v>
      </c>
      <c r="H373" s="18">
        <v>48</v>
      </c>
      <c r="I373" s="18">
        <v>1</v>
      </c>
      <c r="J373" s="18" t="s">
        <v>31</v>
      </c>
      <c r="K373" s="18">
        <v>48</v>
      </c>
      <c r="L373" s="18">
        <v>2</v>
      </c>
      <c r="M373" s="17">
        <v>3000</v>
      </c>
      <c r="N373" s="17">
        <f t="shared" si="29"/>
        <v>144000</v>
      </c>
      <c r="O373" s="17">
        <f t="shared" si="25"/>
        <v>1440</v>
      </c>
      <c r="P373" s="17">
        <f t="shared" si="26"/>
        <v>145440</v>
      </c>
      <c r="Q373" s="20"/>
      <c r="R373" s="20"/>
    </row>
    <row r="374" spans="1:18" x14ac:dyDescent="0.25">
      <c r="A374" s="18" t="s">
        <v>20</v>
      </c>
      <c r="B374" s="22">
        <v>46172.338888888888</v>
      </c>
      <c r="C374" s="18">
        <v>202622</v>
      </c>
      <c r="D374" s="18">
        <v>26301</v>
      </c>
      <c r="E374" s="18">
        <v>1</v>
      </c>
      <c r="F374" s="18" t="s">
        <v>53</v>
      </c>
      <c r="G374" s="18">
        <v>5</v>
      </c>
      <c r="H374" s="18">
        <v>40</v>
      </c>
      <c r="I374" s="18">
        <v>1</v>
      </c>
      <c r="J374" s="18" t="s">
        <v>31</v>
      </c>
      <c r="K374" s="18">
        <v>32</v>
      </c>
      <c r="L374" s="18">
        <v>0.1</v>
      </c>
      <c r="M374" s="17">
        <v>3000</v>
      </c>
      <c r="N374" s="17">
        <f>+K374*M374</f>
        <v>96000</v>
      </c>
      <c r="O374" s="17">
        <f t="shared" si="25"/>
        <v>960</v>
      </c>
      <c r="P374" s="17">
        <f t="shared" si="26"/>
        <v>96960</v>
      </c>
      <c r="Q374" s="20"/>
    </row>
    <row r="375" spans="1:18" x14ac:dyDescent="0.25">
      <c r="A375" s="15" t="s">
        <v>20</v>
      </c>
      <c r="B375" s="16">
        <v>46172.334722222222</v>
      </c>
      <c r="C375" s="18">
        <v>202622</v>
      </c>
      <c r="D375" s="18">
        <v>26301</v>
      </c>
      <c r="E375" s="15">
        <v>1</v>
      </c>
      <c r="F375" s="15" t="s">
        <v>53</v>
      </c>
      <c r="G375" s="15">
        <v>1</v>
      </c>
      <c r="H375" s="15">
        <v>8</v>
      </c>
      <c r="I375" s="15">
        <v>1</v>
      </c>
      <c r="J375" s="15" t="s">
        <v>27</v>
      </c>
      <c r="K375" s="15">
        <v>8</v>
      </c>
      <c r="L375" s="15">
        <v>0.05</v>
      </c>
      <c r="M375" s="17">
        <v>3000</v>
      </c>
      <c r="N375" s="17">
        <f t="shared" si="29"/>
        <v>24000</v>
      </c>
      <c r="O375" s="17">
        <f t="shared" si="25"/>
        <v>240</v>
      </c>
      <c r="P375" s="17">
        <f t="shared" si="26"/>
        <v>24240</v>
      </c>
      <c r="Q375" s="20"/>
    </row>
    <row r="376" spans="1:18" x14ac:dyDescent="0.25">
      <c r="A376" s="15" t="s">
        <v>20</v>
      </c>
      <c r="B376" s="16">
        <v>46174.327777777777</v>
      </c>
      <c r="C376" s="15">
        <v>202623</v>
      </c>
      <c r="D376" s="15">
        <v>25206</v>
      </c>
      <c r="E376" s="15">
        <v>1</v>
      </c>
      <c r="F376" s="15" t="s">
        <v>49</v>
      </c>
      <c r="G376" s="15">
        <v>3</v>
      </c>
      <c r="H376" s="15">
        <v>24</v>
      </c>
      <c r="I376" s="15">
        <v>1</v>
      </c>
      <c r="J376" s="15" t="s">
        <v>27</v>
      </c>
      <c r="K376" s="15">
        <v>24</v>
      </c>
      <c r="L376" s="15">
        <v>7.0000000000000007E-2</v>
      </c>
      <c r="M376" s="27">
        <v>1800</v>
      </c>
      <c r="N376" s="27">
        <f t="shared" si="29"/>
        <v>43200</v>
      </c>
      <c r="O376" s="27">
        <f t="shared" si="25"/>
        <v>432</v>
      </c>
      <c r="P376" s="27">
        <f t="shared" si="26"/>
        <v>43632</v>
      </c>
      <c r="Q376" s="28">
        <v>605</v>
      </c>
    </row>
    <row r="377" spans="1:18" x14ac:dyDescent="0.25">
      <c r="A377" s="18" t="s">
        <v>20</v>
      </c>
      <c r="B377" s="22">
        <v>46174.557638888888</v>
      </c>
      <c r="C377" s="15">
        <v>202623</v>
      </c>
      <c r="D377" s="21">
        <v>26213</v>
      </c>
      <c r="E377" s="18">
        <v>1</v>
      </c>
      <c r="F377" s="18" t="s">
        <v>37</v>
      </c>
      <c r="G377" s="18">
        <v>2</v>
      </c>
      <c r="H377" s="18">
        <v>22</v>
      </c>
      <c r="I377" s="18">
        <v>1</v>
      </c>
      <c r="J377" s="18" t="s">
        <v>43</v>
      </c>
      <c r="K377" s="18">
        <v>19516</v>
      </c>
      <c r="L377" s="18">
        <v>0.27</v>
      </c>
      <c r="M377" s="27">
        <v>2</v>
      </c>
      <c r="N377" s="27">
        <f t="shared" si="29"/>
        <v>39032</v>
      </c>
      <c r="O377" s="27">
        <f t="shared" si="25"/>
        <v>390.32</v>
      </c>
      <c r="P377" s="27">
        <f t="shared" si="26"/>
        <v>39422.32</v>
      </c>
      <c r="Q377" s="28">
        <v>606</v>
      </c>
    </row>
    <row r="378" spans="1:18" x14ac:dyDescent="0.25">
      <c r="A378" s="15" t="s">
        <v>20</v>
      </c>
      <c r="B378" s="16">
        <v>46174.556250000001</v>
      </c>
      <c r="C378" s="15">
        <v>202623</v>
      </c>
      <c r="D378" s="15">
        <v>26210</v>
      </c>
      <c r="E378" s="15">
        <v>3</v>
      </c>
      <c r="F378" s="15" t="s">
        <v>30</v>
      </c>
      <c r="G378" s="15">
        <v>1</v>
      </c>
      <c r="H378" s="15">
        <v>8</v>
      </c>
      <c r="I378" s="15">
        <v>1</v>
      </c>
      <c r="J378" s="15" t="s">
        <v>31</v>
      </c>
      <c r="K378" s="15">
        <v>6</v>
      </c>
      <c r="L378" s="15">
        <v>0.41</v>
      </c>
      <c r="M378" s="27">
        <v>4000</v>
      </c>
      <c r="N378" s="27">
        <f t="shared" si="29"/>
        <v>24000</v>
      </c>
      <c r="O378" s="27">
        <f t="shared" si="25"/>
        <v>240</v>
      </c>
      <c r="P378" s="27">
        <f t="shared" si="26"/>
        <v>24240</v>
      </c>
      <c r="Q378" s="28">
        <v>615</v>
      </c>
    </row>
    <row r="379" spans="1:18" x14ac:dyDescent="0.25">
      <c r="A379" s="18" t="s">
        <v>20</v>
      </c>
      <c r="B379" s="22">
        <v>46174.554166666669</v>
      </c>
      <c r="C379" s="15">
        <v>202623</v>
      </c>
      <c r="D379" s="15">
        <v>26210</v>
      </c>
      <c r="E379" s="18">
        <v>2</v>
      </c>
      <c r="F379" s="18" t="s">
        <v>29</v>
      </c>
      <c r="G379" s="18">
        <v>8</v>
      </c>
      <c r="H379" s="18">
        <v>64</v>
      </c>
      <c r="I379" s="18">
        <v>1</v>
      </c>
      <c r="J379" s="18" t="s">
        <v>27</v>
      </c>
      <c r="K379" s="18">
        <v>64</v>
      </c>
      <c r="L379" s="18">
        <v>0.15</v>
      </c>
      <c r="M379" s="27">
        <v>1800</v>
      </c>
      <c r="N379" s="27">
        <f t="shared" si="29"/>
        <v>115200</v>
      </c>
      <c r="O379" s="27">
        <f t="shared" ref="O379:O442" si="30">+N379*0.01</f>
        <v>1152</v>
      </c>
      <c r="P379" s="27">
        <f t="shared" ref="P379:P442" si="31">+N379+O379</f>
        <v>116352</v>
      </c>
      <c r="Q379" s="28">
        <v>608</v>
      </c>
    </row>
    <row r="380" spans="1:18" x14ac:dyDescent="0.25">
      <c r="A380" s="15" t="s">
        <v>20</v>
      </c>
      <c r="B380" s="16">
        <v>46174.552083333336</v>
      </c>
      <c r="C380" s="15">
        <v>202623</v>
      </c>
      <c r="D380" s="21">
        <v>26213</v>
      </c>
      <c r="E380" s="15">
        <v>1</v>
      </c>
      <c r="F380" s="15" t="s">
        <v>44</v>
      </c>
      <c r="G380" s="15">
        <v>5</v>
      </c>
      <c r="H380" s="15">
        <v>40</v>
      </c>
      <c r="I380" s="15">
        <v>1</v>
      </c>
      <c r="J380" s="15" t="s">
        <v>43</v>
      </c>
      <c r="K380" s="15">
        <v>16798</v>
      </c>
      <c r="L380" s="15">
        <v>0.23</v>
      </c>
      <c r="M380" s="27">
        <v>17</v>
      </c>
      <c r="N380" s="27">
        <f t="shared" si="29"/>
        <v>285566</v>
      </c>
      <c r="O380" s="27">
        <f t="shared" si="30"/>
        <v>2855.66</v>
      </c>
      <c r="P380" s="27">
        <f t="shared" si="31"/>
        <v>288421.65999999997</v>
      </c>
      <c r="Q380" s="28">
        <v>613</v>
      </c>
    </row>
    <row r="381" spans="1:18" x14ac:dyDescent="0.25">
      <c r="A381" s="18" t="s">
        <v>20</v>
      </c>
      <c r="B381" s="22">
        <v>46175.350694444445</v>
      </c>
      <c r="C381" s="15">
        <v>202623</v>
      </c>
      <c r="D381" s="21">
        <v>26213</v>
      </c>
      <c r="E381" s="18">
        <v>1</v>
      </c>
      <c r="F381" s="18" t="s">
        <v>37</v>
      </c>
      <c r="G381" s="18">
        <v>1</v>
      </c>
      <c r="H381" s="18">
        <v>8</v>
      </c>
      <c r="I381" s="18">
        <v>1</v>
      </c>
      <c r="J381" s="18" t="s">
        <v>43</v>
      </c>
      <c r="K381" s="18">
        <v>9740</v>
      </c>
      <c r="L381" s="18">
        <v>0.13</v>
      </c>
      <c r="M381" s="27">
        <v>2</v>
      </c>
      <c r="N381" s="27">
        <f t="shared" si="29"/>
        <v>19480</v>
      </c>
      <c r="O381" s="27">
        <f t="shared" si="30"/>
        <v>194.8</v>
      </c>
      <c r="P381" s="27">
        <f t="shared" si="31"/>
        <v>19674.8</v>
      </c>
      <c r="Q381" s="28">
        <v>606</v>
      </c>
    </row>
    <row r="382" spans="1:18" x14ac:dyDescent="0.25">
      <c r="A382" s="15" t="s">
        <v>20</v>
      </c>
      <c r="B382" s="16">
        <v>46175.349305555559</v>
      </c>
      <c r="C382" s="15">
        <v>202623</v>
      </c>
      <c r="D382" s="15">
        <v>26210</v>
      </c>
      <c r="E382" s="15">
        <v>3</v>
      </c>
      <c r="F382" s="15" t="s">
        <v>30</v>
      </c>
      <c r="G382" s="15">
        <v>1</v>
      </c>
      <c r="H382" s="15">
        <v>8</v>
      </c>
      <c r="I382" s="15">
        <v>1</v>
      </c>
      <c r="J382" s="15" t="s">
        <v>31</v>
      </c>
      <c r="K382" s="15">
        <v>5</v>
      </c>
      <c r="L382" s="15">
        <v>0.41</v>
      </c>
      <c r="M382" s="27">
        <v>4000</v>
      </c>
      <c r="N382" s="27">
        <f t="shared" si="29"/>
        <v>20000</v>
      </c>
      <c r="O382" s="27">
        <f t="shared" si="30"/>
        <v>200</v>
      </c>
      <c r="P382" s="27">
        <f t="shared" si="31"/>
        <v>20200</v>
      </c>
      <c r="Q382" s="28">
        <v>615</v>
      </c>
    </row>
    <row r="383" spans="1:18" x14ac:dyDescent="0.25">
      <c r="A383" s="18" t="s">
        <v>20</v>
      </c>
      <c r="B383" s="22">
        <v>46175.347916666666</v>
      </c>
      <c r="C383" s="15">
        <v>202623</v>
      </c>
      <c r="D383" s="15">
        <v>26210</v>
      </c>
      <c r="E383" s="18">
        <v>2</v>
      </c>
      <c r="F383" s="18" t="s">
        <v>29</v>
      </c>
      <c r="G383" s="18">
        <v>11</v>
      </c>
      <c r="H383" s="18">
        <v>76</v>
      </c>
      <c r="I383" s="18">
        <v>1</v>
      </c>
      <c r="J383" s="18" t="s">
        <v>27</v>
      </c>
      <c r="K383" s="18">
        <v>76</v>
      </c>
      <c r="L383" s="18">
        <v>0.2</v>
      </c>
      <c r="M383" s="27">
        <v>1800</v>
      </c>
      <c r="N383" s="27">
        <f t="shared" si="29"/>
        <v>136800</v>
      </c>
      <c r="O383" s="27">
        <f t="shared" si="30"/>
        <v>1368</v>
      </c>
      <c r="P383" s="27">
        <f t="shared" si="31"/>
        <v>138168</v>
      </c>
      <c r="Q383" s="28">
        <v>608</v>
      </c>
    </row>
    <row r="384" spans="1:18" x14ac:dyDescent="0.25">
      <c r="A384" s="15" t="s">
        <v>20</v>
      </c>
      <c r="B384" s="16">
        <v>46175.34652777778</v>
      </c>
      <c r="C384" s="15">
        <v>202623</v>
      </c>
      <c r="D384" s="21">
        <v>26213</v>
      </c>
      <c r="E384" s="15">
        <v>1</v>
      </c>
      <c r="F384" s="15" t="s">
        <v>44</v>
      </c>
      <c r="G384" s="15">
        <v>6</v>
      </c>
      <c r="H384" s="15">
        <v>48</v>
      </c>
      <c r="I384" s="15">
        <v>1</v>
      </c>
      <c r="J384" s="15" t="s">
        <v>43</v>
      </c>
      <c r="K384" s="15">
        <v>27438</v>
      </c>
      <c r="L384" s="15">
        <v>0.38</v>
      </c>
      <c r="M384" s="27">
        <v>17</v>
      </c>
      <c r="N384" s="27">
        <f t="shared" si="29"/>
        <v>466446</v>
      </c>
      <c r="O384" s="27">
        <f t="shared" si="30"/>
        <v>4664.46</v>
      </c>
      <c r="P384" s="27">
        <f t="shared" si="31"/>
        <v>471110.46</v>
      </c>
      <c r="Q384" s="28">
        <v>613</v>
      </c>
    </row>
    <row r="385" spans="1:17" x14ac:dyDescent="0.25">
      <c r="A385" s="18" t="s">
        <v>20</v>
      </c>
      <c r="B385" s="22">
        <v>46175.326388888891</v>
      </c>
      <c r="C385" s="15">
        <v>202623</v>
      </c>
      <c r="D385" s="15">
        <v>25206</v>
      </c>
      <c r="E385" s="18">
        <v>1</v>
      </c>
      <c r="F385" s="18" t="s">
        <v>54</v>
      </c>
      <c r="G385" s="18">
        <v>1</v>
      </c>
      <c r="H385" s="18">
        <v>8</v>
      </c>
      <c r="I385" s="18">
        <v>1</v>
      </c>
      <c r="J385" s="18" t="s">
        <v>27</v>
      </c>
      <c r="K385" s="18">
        <v>8</v>
      </c>
      <c r="L385" s="18">
        <v>0.25</v>
      </c>
      <c r="M385" s="27">
        <v>1800</v>
      </c>
      <c r="N385" s="27">
        <f t="shared" si="29"/>
        <v>14400</v>
      </c>
      <c r="O385" s="27">
        <f t="shared" si="30"/>
        <v>144</v>
      </c>
      <c r="P385" s="27">
        <f t="shared" si="31"/>
        <v>14544</v>
      </c>
      <c r="Q385" s="28">
        <v>612</v>
      </c>
    </row>
    <row r="386" spans="1:17" x14ac:dyDescent="0.25">
      <c r="A386" s="15" t="s">
        <v>20</v>
      </c>
      <c r="B386" s="16">
        <v>46175.324999999997</v>
      </c>
      <c r="C386" s="15">
        <v>202623</v>
      </c>
      <c r="D386" s="15">
        <v>25206</v>
      </c>
      <c r="E386" s="15">
        <v>1</v>
      </c>
      <c r="F386" s="15" t="s">
        <v>49</v>
      </c>
      <c r="G386" s="15">
        <v>3</v>
      </c>
      <c r="H386" s="15">
        <v>24</v>
      </c>
      <c r="I386" s="15">
        <v>1</v>
      </c>
      <c r="J386" s="15" t="s">
        <v>27</v>
      </c>
      <c r="K386" s="15">
        <v>24</v>
      </c>
      <c r="L386" s="15">
        <v>7.0000000000000007E-2</v>
      </c>
      <c r="M386" s="27">
        <v>1800</v>
      </c>
      <c r="N386" s="27">
        <f t="shared" si="29"/>
        <v>43200</v>
      </c>
      <c r="O386" s="27">
        <f t="shared" si="30"/>
        <v>432</v>
      </c>
      <c r="P386" s="27">
        <f t="shared" si="31"/>
        <v>43632</v>
      </c>
      <c r="Q386" s="29">
        <v>605</v>
      </c>
    </row>
    <row r="387" spans="1:17" x14ac:dyDescent="0.25">
      <c r="A387" s="15" t="s">
        <v>20</v>
      </c>
      <c r="B387" s="16">
        <v>46175.356944444444</v>
      </c>
      <c r="C387" s="15">
        <v>202623</v>
      </c>
      <c r="D387" s="15">
        <v>25206</v>
      </c>
      <c r="E387" s="15">
        <v>1</v>
      </c>
      <c r="F387" s="15" t="s">
        <v>55</v>
      </c>
      <c r="G387" s="15">
        <v>1</v>
      </c>
      <c r="H387" s="15">
        <v>8</v>
      </c>
      <c r="I387" s="15">
        <v>1</v>
      </c>
      <c r="J387" s="15" t="s">
        <v>27</v>
      </c>
      <c r="K387" s="15">
        <v>8</v>
      </c>
      <c r="L387" s="15">
        <v>0.35</v>
      </c>
      <c r="M387" s="27">
        <v>1800</v>
      </c>
      <c r="N387" s="27">
        <f t="shared" si="29"/>
        <v>14400</v>
      </c>
      <c r="O387" s="27">
        <f t="shared" si="30"/>
        <v>144</v>
      </c>
      <c r="P387" s="27">
        <f t="shared" si="31"/>
        <v>14544</v>
      </c>
      <c r="Q387" s="28">
        <v>616</v>
      </c>
    </row>
    <row r="388" spans="1:17" x14ac:dyDescent="0.25">
      <c r="A388" s="18" t="s">
        <v>20</v>
      </c>
      <c r="B388" s="22">
        <v>46176.355555555558</v>
      </c>
      <c r="C388" s="15">
        <v>202623</v>
      </c>
      <c r="D388" s="15">
        <v>25206</v>
      </c>
      <c r="E388" s="18">
        <v>1</v>
      </c>
      <c r="F388" s="18" t="s">
        <v>49</v>
      </c>
      <c r="G388" s="18">
        <v>2</v>
      </c>
      <c r="H388" s="18">
        <v>16</v>
      </c>
      <c r="I388" s="18">
        <v>1</v>
      </c>
      <c r="J388" s="18" t="s">
        <v>27</v>
      </c>
      <c r="K388" s="18">
        <v>16</v>
      </c>
      <c r="L388" s="18">
        <v>0.04</v>
      </c>
      <c r="M388" s="27">
        <v>1800</v>
      </c>
      <c r="N388" s="27">
        <f t="shared" si="29"/>
        <v>28800</v>
      </c>
      <c r="O388" s="27">
        <f t="shared" si="30"/>
        <v>288</v>
      </c>
      <c r="P388" s="27">
        <f t="shared" si="31"/>
        <v>29088</v>
      </c>
      <c r="Q388" s="28">
        <v>605</v>
      </c>
    </row>
    <row r="389" spans="1:17" x14ac:dyDescent="0.25">
      <c r="A389" s="18" t="s">
        <v>20</v>
      </c>
      <c r="B389" s="22">
        <v>46178.340277777781</v>
      </c>
      <c r="C389" s="15">
        <v>202623</v>
      </c>
      <c r="D389" s="15">
        <v>26210</v>
      </c>
      <c r="E389" s="18">
        <v>1</v>
      </c>
      <c r="F389" s="18" t="s">
        <v>29</v>
      </c>
      <c r="G389" s="18">
        <v>13</v>
      </c>
      <c r="H389" s="18">
        <v>104</v>
      </c>
      <c r="I389" s="18">
        <v>1</v>
      </c>
      <c r="J389" s="18" t="s">
        <v>27</v>
      </c>
      <c r="K389" s="18">
        <v>104</v>
      </c>
      <c r="L389" s="18">
        <v>0.32</v>
      </c>
      <c r="M389" s="27">
        <v>1800</v>
      </c>
      <c r="N389" s="27">
        <f t="shared" si="29"/>
        <v>187200</v>
      </c>
      <c r="O389" s="27">
        <f t="shared" si="30"/>
        <v>1872</v>
      </c>
      <c r="P389" s="27">
        <f t="shared" si="31"/>
        <v>189072</v>
      </c>
      <c r="Q389" s="28">
        <v>608</v>
      </c>
    </row>
    <row r="390" spans="1:17" x14ac:dyDescent="0.25">
      <c r="A390" s="15" t="s">
        <v>20</v>
      </c>
      <c r="B390" s="16">
        <v>46176.336805555555</v>
      </c>
      <c r="C390" s="15">
        <v>202623</v>
      </c>
      <c r="D390" s="21">
        <v>26213</v>
      </c>
      <c r="E390" s="15">
        <v>1</v>
      </c>
      <c r="F390" s="15" t="s">
        <v>44</v>
      </c>
      <c r="G390" s="15">
        <v>5</v>
      </c>
      <c r="H390" s="15">
        <v>40</v>
      </c>
      <c r="I390" s="15">
        <v>1</v>
      </c>
      <c r="J390" s="15" t="s">
        <v>43</v>
      </c>
      <c r="K390" s="15">
        <v>19587</v>
      </c>
      <c r="L390" s="15">
        <v>0.36</v>
      </c>
      <c r="M390" s="27">
        <v>17</v>
      </c>
      <c r="N390" s="27">
        <f t="shared" si="29"/>
        <v>332979</v>
      </c>
      <c r="O390" s="27">
        <f t="shared" si="30"/>
        <v>3329.79</v>
      </c>
      <c r="P390" s="27">
        <f t="shared" si="31"/>
        <v>336308.79</v>
      </c>
      <c r="Q390" s="29">
        <v>613</v>
      </c>
    </row>
    <row r="391" spans="1:17" x14ac:dyDescent="0.25">
      <c r="A391" s="18" t="s">
        <v>20</v>
      </c>
      <c r="B391" s="22">
        <v>46177.386111111111</v>
      </c>
      <c r="C391" s="15">
        <v>202623</v>
      </c>
      <c r="D391" s="21">
        <v>26213</v>
      </c>
      <c r="E391" s="18">
        <v>1</v>
      </c>
      <c r="F391" s="18" t="s">
        <v>22</v>
      </c>
      <c r="G391" s="18">
        <v>1</v>
      </c>
      <c r="H391" s="18">
        <v>8</v>
      </c>
      <c r="I391" s="18">
        <v>1</v>
      </c>
      <c r="J391" s="18" t="s">
        <v>43</v>
      </c>
      <c r="K391" s="18">
        <v>1</v>
      </c>
      <c r="L391" s="18">
        <v>0.16</v>
      </c>
      <c r="M391" s="27">
        <v>60000</v>
      </c>
      <c r="N391" s="27">
        <f t="shared" si="29"/>
        <v>60000</v>
      </c>
      <c r="O391" s="27">
        <f t="shared" si="30"/>
        <v>600</v>
      </c>
      <c r="P391" s="27">
        <f t="shared" si="31"/>
        <v>60600</v>
      </c>
      <c r="Q391" s="29">
        <v>610</v>
      </c>
    </row>
    <row r="392" spans="1:17" x14ac:dyDescent="0.25">
      <c r="A392" s="15" t="s">
        <v>20</v>
      </c>
      <c r="B392" s="16">
        <v>46177.384722222225</v>
      </c>
      <c r="C392" s="15">
        <v>202623</v>
      </c>
      <c r="D392" s="15">
        <v>26210</v>
      </c>
      <c r="E392" s="15">
        <v>3</v>
      </c>
      <c r="F392" s="15" t="s">
        <v>30</v>
      </c>
      <c r="G392" s="15">
        <v>1</v>
      </c>
      <c r="H392" s="15">
        <v>8</v>
      </c>
      <c r="I392" s="15">
        <v>1</v>
      </c>
      <c r="J392" s="15" t="s">
        <v>31</v>
      </c>
      <c r="K392" s="15">
        <v>5</v>
      </c>
      <c r="L392" s="15">
        <v>0.35</v>
      </c>
      <c r="M392" s="27">
        <v>4000</v>
      </c>
      <c r="N392" s="27">
        <f t="shared" si="29"/>
        <v>20000</v>
      </c>
      <c r="O392" s="27">
        <f t="shared" si="30"/>
        <v>200</v>
      </c>
      <c r="P392" s="27">
        <f t="shared" si="31"/>
        <v>20200</v>
      </c>
      <c r="Q392" s="29">
        <v>615</v>
      </c>
    </row>
    <row r="393" spans="1:17" x14ac:dyDescent="0.25">
      <c r="A393" s="18" t="s">
        <v>20</v>
      </c>
      <c r="B393" s="22">
        <v>46178.340277777781</v>
      </c>
      <c r="C393" s="15">
        <v>202623</v>
      </c>
      <c r="D393" s="18">
        <v>25201</v>
      </c>
      <c r="E393" s="18">
        <v>1</v>
      </c>
      <c r="F393" s="18" t="s">
        <v>29</v>
      </c>
      <c r="G393" s="18">
        <v>1</v>
      </c>
      <c r="H393" s="18">
        <v>8</v>
      </c>
      <c r="I393" s="18">
        <v>1</v>
      </c>
      <c r="J393" s="18" t="s">
        <v>27</v>
      </c>
      <c r="K393" s="18">
        <v>8</v>
      </c>
      <c r="L393" s="18">
        <v>0.32</v>
      </c>
      <c r="M393" s="27">
        <v>1800</v>
      </c>
      <c r="N393" s="27">
        <f t="shared" si="29"/>
        <v>14400</v>
      </c>
      <c r="O393" s="27">
        <f t="shared" si="30"/>
        <v>144</v>
      </c>
      <c r="P393" s="27">
        <f t="shared" si="31"/>
        <v>14544</v>
      </c>
      <c r="Q393" s="28">
        <v>608</v>
      </c>
    </row>
    <row r="394" spans="1:17" x14ac:dyDescent="0.25">
      <c r="A394" s="18" t="s">
        <v>20</v>
      </c>
      <c r="B394" s="22">
        <v>46177.381944444445</v>
      </c>
      <c r="C394" s="15">
        <v>202623</v>
      </c>
      <c r="D394" s="15">
        <v>26210</v>
      </c>
      <c r="E394" s="18">
        <v>2</v>
      </c>
      <c r="F394" s="18" t="s">
        <v>29</v>
      </c>
      <c r="G394" s="18">
        <v>12</v>
      </c>
      <c r="H394" s="18">
        <v>94</v>
      </c>
      <c r="I394" s="18">
        <v>1</v>
      </c>
      <c r="J394" s="18" t="s">
        <v>27</v>
      </c>
      <c r="K394" s="18">
        <v>94</v>
      </c>
      <c r="L394" s="18">
        <v>0.26</v>
      </c>
      <c r="M394" s="27">
        <v>1800</v>
      </c>
      <c r="N394" s="27">
        <f t="shared" si="29"/>
        <v>169200</v>
      </c>
      <c r="O394" s="27">
        <f t="shared" si="30"/>
        <v>1692</v>
      </c>
      <c r="P394" s="27">
        <f t="shared" si="31"/>
        <v>170892</v>
      </c>
      <c r="Q394" s="28">
        <v>608</v>
      </c>
    </row>
    <row r="395" spans="1:17" x14ac:dyDescent="0.25">
      <c r="A395" s="15" t="s">
        <v>20</v>
      </c>
      <c r="B395" s="16">
        <v>46177.379861111112</v>
      </c>
      <c r="C395" s="15">
        <v>202623</v>
      </c>
      <c r="D395" s="21">
        <v>26213</v>
      </c>
      <c r="E395" s="15">
        <v>1</v>
      </c>
      <c r="F395" s="15" t="s">
        <v>44</v>
      </c>
      <c r="G395" s="15">
        <v>2</v>
      </c>
      <c r="H395" s="15">
        <v>10</v>
      </c>
      <c r="I395" s="15">
        <v>1</v>
      </c>
      <c r="J395" s="15" t="s">
        <v>43</v>
      </c>
      <c r="K395" s="15">
        <v>6434</v>
      </c>
      <c r="L395" s="15">
        <v>0.08</v>
      </c>
      <c r="M395" s="27">
        <v>17</v>
      </c>
      <c r="N395" s="27">
        <f t="shared" si="29"/>
        <v>109378</v>
      </c>
      <c r="O395" s="27">
        <f t="shared" si="30"/>
        <v>1093.78</v>
      </c>
      <c r="P395" s="27">
        <f t="shared" si="31"/>
        <v>110471.78</v>
      </c>
      <c r="Q395" s="29">
        <v>613</v>
      </c>
    </row>
    <row r="396" spans="1:17" x14ac:dyDescent="0.25">
      <c r="A396" s="18" t="s">
        <v>20</v>
      </c>
      <c r="B396" s="22">
        <v>46176.376388888886</v>
      </c>
      <c r="C396" s="15">
        <v>202623</v>
      </c>
      <c r="D396" s="15">
        <v>25206</v>
      </c>
      <c r="E396" s="18">
        <v>1</v>
      </c>
      <c r="F396" s="18" t="s">
        <v>55</v>
      </c>
      <c r="G396" s="18">
        <v>1</v>
      </c>
      <c r="H396" s="18">
        <v>8</v>
      </c>
      <c r="I396" s="18">
        <v>1</v>
      </c>
      <c r="J396" s="18" t="s">
        <v>27</v>
      </c>
      <c r="K396" s="18">
        <v>8</v>
      </c>
      <c r="L396" s="18">
        <v>0.2</v>
      </c>
      <c r="M396" s="27">
        <v>1800</v>
      </c>
      <c r="N396" s="27">
        <f t="shared" si="29"/>
        <v>14400</v>
      </c>
      <c r="O396" s="27">
        <f t="shared" si="30"/>
        <v>144</v>
      </c>
      <c r="P396" s="27">
        <f t="shared" si="31"/>
        <v>14544</v>
      </c>
      <c r="Q396" s="29">
        <v>616</v>
      </c>
    </row>
    <row r="397" spans="1:17" x14ac:dyDescent="0.25">
      <c r="A397" s="15" t="s">
        <v>20</v>
      </c>
      <c r="B397" s="16">
        <v>46176.376388888886</v>
      </c>
      <c r="C397" s="15">
        <v>202623</v>
      </c>
      <c r="D397" s="15">
        <v>26210</v>
      </c>
      <c r="E397" s="15">
        <v>3</v>
      </c>
      <c r="F397" s="15" t="s">
        <v>30</v>
      </c>
      <c r="G397" s="15">
        <v>1</v>
      </c>
      <c r="H397" s="15">
        <v>10</v>
      </c>
      <c r="I397" s="15">
        <v>1</v>
      </c>
      <c r="J397" s="15" t="s">
        <v>31</v>
      </c>
      <c r="K397" s="15">
        <v>7</v>
      </c>
      <c r="L397" s="15">
        <v>0.48</v>
      </c>
      <c r="M397" s="27">
        <v>4000</v>
      </c>
      <c r="N397" s="27">
        <f t="shared" si="29"/>
        <v>28000</v>
      </c>
      <c r="O397" s="27">
        <f t="shared" si="30"/>
        <v>280</v>
      </c>
      <c r="P397" s="27">
        <f t="shared" si="31"/>
        <v>28280</v>
      </c>
      <c r="Q397" s="29">
        <v>615</v>
      </c>
    </row>
    <row r="398" spans="1:17" x14ac:dyDescent="0.25">
      <c r="A398" s="18" t="s">
        <v>20</v>
      </c>
      <c r="B398" s="22">
        <v>46177.381944444445</v>
      </c>
      <c r="C398" s="15">
        <v>202623</v>
      </c>
      <c r="D398" s="15">
        <v>26210</v>
      </c>
      <c r="E398" s="18">
        <v>2</v>
      </c>
      <c r="F398" s="18" t="s">
        <v>29</v>
      </c>
      <c r="G398" s="18">
        <v>1</v>
      </c>
      <c r="H398" s="18">
        <v>8</v>
      </c>
      <c r="I398" s="18">
        <v>1</v>
      </c>
      <c r="J398" s="18" t="s">
        <v>27</v>
      </c>
      <c r="K398" s="18">
        <v>8</v>
      </c>
      <c r="L398" s="18">
        <v>0.26</v>
      </c>
      <c r="M398" s="27">
        <v>1800</v>
      </c>
      <c r="N398" s="27">
        <f t="shared" si="29"/>
        <v>14400</v>
      </c>
      <c r="O398" s="27">
        <f t="shared" si="30"/>
        <v>144</v>
      </c>
      <c r="P398" s="27">
        <f t="shared" si="31"/>
        <v>14544</v>
      </c>
      <c r="Q398" s="28">
        <v>608</v>
      </c>
    </row>
    <row r="399" spans="1:17" x14ac:dyDescent="0.25">
      <c r="A399" s="18" t="s">
        <v>20</v>
      </c>
      <c r="B399" s="22">
        <v>46176.374305555553</v>
      </c>
      <c r="C399" s="15">
        <v>202623</v>
      </c>
      <c r="D399" s="15">
        <v>26210</v>
      </c>
      <c r="E399" s="18">
        <v>2</v>
      </c>
      <c r="F399" s="18" t="s">
        <v>29</v>
      </c>
      <c r="G399" s="18">
        <v>11</v>
      </c>
      <c r="H399" s="18">
        <v>88</v>
      </c>
      <c r="I399" s="18">
        <v>1</v>
      </c>
      <c r="J399" s="18" t="s">
        <v>27</v>
      </c>
      <c r="K399" s="18">
        <v>88</v>
      </c>
      <c r="L399" s="18">
        <v>0.25</v>
      </c>
      <c r="M399" s="27">
        <v>1800</v>
      </c>
      <c r="N399" s="27">
        <f t="shared" si="29"/>
        <v>158400</v>
      </c>
      <c r="O399" s="27">
        <f t="shared" si="30"/>
        <v>1584</v>
      </c>
      <c r="P399" s="27">
        <f t="shared" si="31"/>
        <v>159984</v>
      </c>
      <c r="Q399" s="28">
        <v>608</v>
      </c>
    </row>
    <row r="400" spans="1:17" x14ac:dyDescent="0.25">
      <c r="A400" s="18" t="s">
        <v>20</v>
      </c>
      <c r="B400" s="22">
        <v>46178.542361111111</v>
      </c>
      <c r="C400" s="15">
        <v>202623</v>
      </c>
      <c r="D400" s="21">
        <v>26213</v>
      </c>
      <c r="E400" s="18">
        <v>1</v>
      </c>
      <c r="F400" s="18" t="s">
        <v>37</v>
      </c>
      <c r="G400" s="18">
        <v>2</v>
      </c>
      <c r="H400" s="18">
        <v>22</v>
      </c>
      <c r="I400" s="18">
        <v>1</v>
      </c>
      <c r="J400" s="18" t="s">
        <v>43</v>
      </c>
      <c r="K400" s="18">
        <v>21084</v>
      </c>
      <c r="L400" s="18">
        <v>0.28999999999999998</v>
      </c>
      <c r="M400" s="27">
        <v>2</v>
      </c>
      <c r="N400" s="27">
        <f t="shared" si="29"/>
        <v>42168</v>
      </c>
      <c r="O400" s="27">
        <f t="shared" si="30"/>
        <v>421.68</v>
      </c>
      <c r="P400" s="27">
        <f t="shared" si="31"/>
        <v>42589.68</v>
      </c>
      <c r="Q400" s="28">
        <v>606</v>
      </c>
    </row>
    <row r="401" spans="1:17" x14ac:dyDescent="0.25">
      <c r="A401" s="15" t="s">
        <v>20</v>
      </c>
      <c r="B401" s="16">
        <v>46178.342361111114</v>
      </c>
      <c r="C401" s="15">
        <v>202623</v>
      </c>
      <c r="D401" s="15">
        <v>26210</v>
      </c>
      <c r="E401" s="15">
        <v>3</v>
      </c>
      <c r="F401" s="15" t="s">
        <v>30</v>
      </c>
      <c r="G401" s="15">
        <v>1</v>
      </c>
      <c r="H401" s="15">
        <v>8</v>
      </c>
      <c r="I401" s="15">
        <v>1</v>
      </c>
      <c r="J401" s="15" t="s">
        <v>31</v>
      </c>
      <c r="K401" s="15">
        <v>6</v>
      </c>
      <c r="L401" s="15">
        <v>0.41</v>
      </c>
      <c r="M401" s="27">
        <v>4000</v>
      </c>
      <c r="N401" s="27">
        <f t="shared" si="29"/>
        <v>24000</v>
      </c>
      <c r="O401" s="27">
        <f t="shared" si="30"/>
        <v>240</v>
      </c>
      <c r="P401" s="27">
        <f t="shared" si="31"/>
        <v>24240</v>
      </c>
      <c r="Q401" s="29">
        <v>615</v>
      </c>
    </row>
    <row r="402" spans="1:17" x14ac:dyDescent="0.25">
      <c r="A402" s="15" t="s">
        <v>20</v>
      </c>
      <c r="B402" s="16">
        <v>46178.336805555555</v>
      </c>
      <c r="C402" s="15">
        <v>202623</v>
      </c>
      <c r="D402" s="21">
        <v>26213</v>
      </c>
      <c r="E402" s="15">
        <v>1</v>
      </c>
      <c r="F402" s="15" t="s">
        <v>44</v>
      </c>
      <c r="G402" s="15">
        <v>5</v>
      </c>
      <c r="H402" s="15">
        <v>40</v>
      </c>
      <c r="I402" s="15">
        <v>1</v>
      </c>
      <c r="J402" s="15" t="s">
        <v>43</v>
      </c>
      <c r="K402" s="15">
        <v>26113</v>
      </c>
      <c r="L402" s="15">
        <v>0.36</v>
      </c>
      <c r="M402" s="27">
        <v>17</v>
      </c>
      <c r="N402" s="27">
        <f>+K402*M402</f>
        <v>443921</v>
      </c>
      <c r="O402" s="27">
        <f t="shared" si="30"/>
        <v>4439.21</v>
      </c>
      <c r="P402" s="27">
        <f t="shared" si="31"/>
        <v>448360.21</v>
      </c>
      <c r="Q402" s="29">
        <v>613</v>
      </c>
    </row>
    <row r="403" spans="1:17" x14ac:dyDescent="0.25">
      <c r="A403" s="15" t="s">
        <v>20</v>
      </c>
      <c r="B403" s="16">
        <v>46176.37777777778</v>
      </c>
      <c r="C403" s="15">
        <v>202623</v>
      </c>
      <c r="D403" s="21">
        <v>26213</v>
      </c>
      <c r="E403" s="15">
        <v>1</v>
      </c>
      <c r="F403" s="15" t="s">
        <v>22</v>
      </c>
      <c r="G403" s="15">
        <v>1</v>
      </c>
      <c r="H403" s="15">
        <v>8</v>
      </c>
      <c r="I403" s="15">
        <v>1</v>
      </c>
      <c r="J403" s="15" t="s">
        <v>43</v>
      </c>
      <c r="K403" s="15">
        <v>1</v>
      </c>
      <c r="L403" s="15">
        <v>0.16</v>
      </c>
      <c r="M403" s="27">
        <v>60000</v>
      </c>
      <c r="N403" s="27">
        <f t="shared" ref="N403:N437" si="32">+K403*M403</f>
        <v>60000</v>
      </c>
      <c r="O403" s="27">
        <f t="shared" si="30"/>
        <v>600</v>
      </c>
      <c r="P403" s="27">
        <f t="shared" si="31"/>
        <v>60600</v>
      </c>
      <c r="Q403" s="29">
        <v>610</v>
      </c>
    </row>
    <row r="404" spans="1:17" x14ac:dyDescent="0.25">
      <c r="A404" s="18" t="s">
        <v>20</v>
      </c>
      <c r="B404" s="22">
        <v>46177.376388888886</v>
      </c>
      <c r="C404" s="15">
        <v>202623</v>
      </c>
      <c r="D404" s="15">
        <v>25206</v>
      </c>
      <c r="E404" s="18">
        <v>1</v>
      </c>
      <c r="F404" s="18" t="s">
        <v>55</v>
      </c>
      <c r="G404" s="18">
        <v>1</v>
      </c>
      <c r="H404" s="18">
        <v>8</v>
      </c>
      <c r="I404" s="18">
        <v>1</v>
      </c>
      <c r="J404" s="18" t="s">
        <v>27</v>
      </c>
      <c r="K404" s="18">
        <v>8</v>
      </c>
      <c r="L404" s="18">
        <v>0.2</v>
      </c>
      <c r="M404" s="27">
        <v>1800</v>
      </c>
      <c r="N404" s="27">
        <f t="shared" si="32"/>
        <v>14400</v>
      </c>
      <c r="O404" s="27">
        <f t="shared" si="30"/>
        <v>144</v>
      </c>
      <c r="P404" s="27">
        <f t="shared" si="31"/>
        <v>14544</v>
      </c>
      <c r="Q404" s="29">
        <v>616</v>
      </c>
    </row>
    <row r="405" spans="1:17" x14ac:dyDescent="0.25">
      <c r="A405" s="15" t="s">
        <v>20</v>
      </c>
      <c r="B405" s="16">
        <v>46178.345138888886</v>
      </c>
      <c r="C405" s="15">
        <v>202623</v>
      </c>
      <c r="D405" s="15">
        <v>25206</v>
      </c>
      <c r="E405" s="15">
        <v>2</v>
      </c>
      <c r="F405" s="15" t="s">
        <v>55</v>
      </c>
      <c r="G405" s="15">
        <v>1</v>
      </c>
      <c r="H405" s="15">
        <v>16</v>
      </c>
      <c r="I405" s="15">
        <v>1</v>
      </c>
      <c r="J405" s="15" t="s">
        <v>27</v>
      </c>
      <c r="K405" s="15">
        <v>8</v>
      </c>
      <c r="L405" s="15">
        <v>0.2</v>
      </c>
      <c r="M405" s="27">
        <v>1800</v>
      </c>
      <c r="N405" s="27">
        <f t="shared" si="32"/>
        <v>14400</v>
      </c>
      <c r="O405" s="27">
        <f t="shared" si="30"/>
        <v>144</v>
      </c>
      <c r="P405" s="27">
        <f t="shared" si="31"/>
        <v>14544</v>
      </c>
      <c r="Q405" s="29">
        <v>616</v>
      </c>
    </row>
    <row r="406" spans="1:17" x14ac:dyDescent="0.25">
      <c r="A406" s="18" t="s">
        <v>20</v>
      </c>
      <c r="B406" s="22">
        <v>46179.469444444447</v>
      </c>
      <c r="C406" s="15">
        <v>202623</v>
      </c>
      <c r="D406" s="21">
        <v>26213</v>
      </c>
      <c r="E406" s="18">
        <v>1</v>
      </c>
      <c r="F406" s="18" t="s">
        <v>37</v>
      </c>
      <c r="G406" s="18">
        <v>2</v>
      </c>
      <c r="H406" s="18">
        <v>24</v>
      </c>
      <c r="I406" s="18">
        <v>1</v>
      </c>
      <c r="J406" s="18" t="s">
        <v>43</v>
      </c>
      <c r="K406" s="18">
        <v>24211</v>
      </c>
      <c r="L406" s="18">
        <v>0.33</v>
      </c>
      <c r="M406" s="27">
        <v>2</v>
      </c>
      <c r="N406" s="27">
        <f t="shared" si="32"/>
        <v>48422</v>
      </c>
      <c r="O406" s="27">
        <f t="shared" si="30"/>
        <v>484.22</v>
      </c>
      <c r="P406" s="27">
        <f t="shared" si="31"/>
        <v>48906.22</v>
      </c>
      <c r="Q406" s="28">
        <v>606</v>
      </c>
    </row>
    <row r="407" spans="1:17" x14ac:dyDescent="0.25">
      <c r="A407" s="15" t="s">
        <v>20</v>
      </c>
      <c r="B407" s="16">
        <v>46179.467361111114</v>
      </c>
      <c r="C407" s="15">
        <v>202623</v>
      </c>
      <c r="D407" s="21">
        <v>26213</v>
      </c>
      <c r="E407" s="15">
        <v>1</v>
      </c>
      <c r="F407" s="15" t="s">
        <v>22</v>
      </c>
      <c r="G407" s="15">
        <v>1</v>
      </c>
      <c r="H407" s="15">
        <v>8</v>
      </c>
      <c r="I407" s="15">
        <v>1</v>
      </c>
      <c r="J407" s="15" t="s">
        <v>43</v>
      </c>
      <c r="K407" s="15">
        <v>1</v>
      </c>
      <c r="L407" s="15">
        <v>0.16</v>
      </c>
      <c r="M407" s="27">
        <v>60000</v>
      </c>
      <c r="N407" s="27">
        <f t="shared" si="32"/>
        <v>60000</v>
      </c>
      <c r="O407" s="27">
        <f t="shared" si="30"/>
        <v>600</v>
      </c>
      <c r="P407" s="27">
        <f t="shared" si="31"/>
        <v>60600</v>
      </c>
      <c r="Q407" s="29">
        <v>610</v>
      </c>
    </row>
    <row r="408" spans="1:17" x14ac:dyDescent="0.25">
      <c r="A408" s="18" t="s">
        <v>20</v>
      </c>
      <c r="B408" s="22">
        <v>46179.46597222222</v>
      </c>
      <c r="C408" s="15">
        <v>202623</v>
      </c>
      <c r="D408" s="15">
        <v>26210</v>
      </c>
      <c r="E408" s="18">
        <v>3</v>
      </c>
      <c r="F408" s="18" t="s">
        <v>30</v>
      </c>
      <c r="G408" s="18">
        <v>2</v>
      </c>
      <c r="H408" s="18">
        <v>16</v>
      </c>
      <c r="I408" s="18">
        <v>1</v>
      </c>
      <c r="J408" s="18" t="s">
        <v>31</v>
      </c>
      <c r="K408" s="18">
        <v>9</v>
      </c>
      <c r="L408" s="18">
        <v>0.61</v>
      </c>
      <c r="M408" s="27">
        <v>4000</v>
      </c>
      <c r="N408" s="27">
        <f t="shared" si="32"/>
        <v>36000</v>
      </c>
      <c r="O408" s="27">
        <f t="shared" si="30"/>
        <v>360</v>
      </c>
      <c r="P408" s="27">
        <f t="shared" si="31"/>
        <v>36360</v>
      </c>
      <c r="Q408" s="29">
        <v>615</v>
      </c>
    </row>
    <row r="409" spans="1:17" x14ac:dyDescent="0.25">
      <c r="A409" s="18" t="s">
        <v>20</v>
      </c>
      <c r="B409" s="22">
        <v>46176.374305555553</v>
      </c>
      <c r="C409" s="15">
        <v>202623</v>
      </c>
      <c r="D409" s="18">
        <v>25201</v>
      </c>
      <c r="E409" s="18">
        <v>2</v>
      </c>
      <c r="F409" s="18" t="s">
        <v>29</v>
      </c>
      <c r="G409" s="18">
        <v>1</v>
      </c>
      <c r="H409" s="18">
        <v>8</v>
      </c>
      <c r="I409" s="18">
        <v>1</v>
      </c>
      <c r="J409" s="18" t="s">
        <v>27</v>
      </c>
      <c r="K409" s="18">
        <v>8</v>
      </c>
      <c r="L409" s="18">
        <v>0.25</v>
      </c>
      <c r="M409" s="27">
        <v>1800</v>
      </c>
      <c r="N409" s="27">
        <f t="shared" si="32"/>
        <v>14400</v>
      </c>
      <c r="O409" s="27">
        <f t="shared" si="30"/>
        <v>144</v>
      </c>
      <c r="P409" s="27">
        <f t="shared" si="31"/>
        <v>14544</v>
      </c>
      <c r="Q409" s="28">
        <v>608</v>
      </c>
    </row>
    <row r="410" spans="1:17" x14ac:dyDescent="0.25">
      <c r="A410" s="15" t="s">
        <v>20</v>
      </c>
      <c r="B410" s="16">
        <v>46179.447222222225</v>
      </c>
      <c r="C410" s="15">
        <v>202623</v>
      </c>
      <c r="D410" s="15">
        <v>26210</v>
      </c>
      <c r="E410" s="15">
        <v>2</v>
      </c>
      <c r="F410" s="15" t="s">
        <v>29</v>
      </c>
      <c r="G410" s="15">
        <v>13</v>
      </c>
      <c r="H410" s="15">
        <v>94</v>
      </c>
      <c r="I410" s="15">
        <v>1</v>
      </c>
      <c r="J410" s="15" t="s">
        <v>27</v>
      </c>
      <c r="K410" s="15">
        <v>94</v>
      </c>
      <c r="L410" s="15">
        <v>0.3</v>
      </c>
      <c r="M410" s="27">
        <v>1800</v>
      </c>
      <c r="N410" s="27">
        <f t="shared" si="32"/>
        <v>169200</v>
      </c>
      <c r="O410" s="27">
        <f t="shared" si="30"/>
        <v>1692</v>
      </c>
      <c r="P410" s="27">
        <f t="shared" si="31"/>
        <v>170892</v>
      </c>
      <c r="Q410" s="28">
        <v>608</v>
      </c>
    </row>
    <row r="411" spans="1:17" x14ac:dyDescent="0.25">
      <c r="A411" s="18" t="s">
        <v>20</v>
      </c>
      <c r="B411" s="22">
        <v>46179.445833333331</v>
      </c>
      <c r="C411" s="15">
        <v>202623</v>
      </c>
      <c r="D411" s="18">
        <v>26213</v>
      </c>
      <c r="E411" s="18">
        <v>1</v>
      </c>
      <c r="F411" s="18" t="s">
        <v>44</v>
      </c>
      <c r="G411" s="18">
        <v>4</v>
      </c>
      <c r="H411" s="18">
        <v>32</v>
      </c>
      <c r="I411" s="18">
        <v>1</v>
      </c>
      <c r="J411" s="18" t="s">
        <v>43</v>
      </c>
      <c r="K411" s="18">
        <v>13120</v>
      </c>
      <c r="L411" s="18">
        <v>0.18</v>
      </c>
      <c r="M411" s="27">
        <v>17</v>
      </c>
      <c r="N411" s="27">
        <f t="shared" si="32"/>
        <v>223040</v>
      </c>
      <c r="O411" s="27">
        <f t="shared" si="30"/>
        <v>2230.4</v>
      </c>
      <c r="P411" s="27">
        <f t="shared" si="31"/>
        <v>225270.39999999999</v>
      </c>
      <c r="Q411" s="29">
        <v>612</v>
      </c>
    </row>
    <row r="412" spans="1:17" x14ac:dyDescent="0.25">
      <c r="A412" s="15" t="s">
        <v>20</v>
      </c>
      <c r="B412" s="16">
        <v>46179.345138888886</v>
      </c>
      <c r="C412" s="15">
        <v>202623</v>
      </c>
      <c r="D412" s="15">
        <v>25206</v>
      </c>
      <c r="E412" s="15">
        <v>2</v>
      </c>
      <c r="F412" s="15" t="s">
        <v>55</v>
      </c>
      <c r="G412" s="15">
        <v>2</v>
      </c>
      <c r="H412" s="15">
        <v>16</v>
      </c>
      <c r="I412" s="15">
        <v>1</v>
      </c>
      <c r="J412" s="15" t="s">
        <v>27</v>
      </c>
      <c r="K412" s="15">
        <v>16</v>
      </c>
      <c r="L412" s="15">
        <v>0.2</v>
      </c>
      <c r="M412" s="27">
        <v>1800</v>
      </c>
      <c r="N412" s="27">
        <f t="shared" si="32"/>
        <v>28800</v>
      </c>
      <c r="O412" s="27">
        <f t="shared" si="30"/>
        <v>288</v>
      </c>
      <c r="P412" s="27">
        <f t="shared" si="31"/>
        <v>29088</v>
      </c>
      <c r="Q412" s="29">
        <v>616</v>
      </c>
    </row>
    <row r="413" spans="1:17" x14ac:dyDescent="0.25">
      <c r="A413" s="15" t="s">
        <v>20</v>
      </c>
      <c r="B413" s="16">
        <v>46179.447222222225</v>
      </c>
      <c r="C413" s="15">
        <v>202623</v>
      </c>
      <c r="D413" s="18">
        <v>25201</v>
      </c>
      <c r="E413" s="15">
        <v>2</v>
      </c>
      <c r="F413" s="15" t="s">
        <v>29</v>
      </c>
      <c r="G413" s="15">
        <v>1</v>
      </c>
      <c r="H413" s="15">
        <v>8</v>
      </c>
      <c r="I413" s="15">
        <v>1</v>
      </c>
      <c r="J413" s="15" t="s">
        <v>27</v>
      </c>
      <c r="K413" s="15">
        <v>8</v>
      </c>
      <c r="L413" s="15">
        <v>0.3</v>
      </c>
      <c r="M413" s="27">
        <v>1800</v>
      </c>
      <c r="N413" s="27">
        <f t="shared" si="32"/>
        <v>14400</v>
      </c>
      <c r="O413" s="27">
        <f t="shared" si="30"/>
        <v>144</v>
      </c>
      <c r="P413" s="27">
        <f t="shared" si="31"/>
        <v>14544</v>
      </c>
      <c r="Q413" s="28">
        <v>608</v>
      </c>
    </row>
    <row r="414" spans="1:17" x14ac:dyDescent="0.25">
      <c r="A414" s="18" t="s">
        <v>20</v>
      </c>
      <c r="B414" s="22">
        <v>46174.331250000003</v>
      </c>
      <c r="C414" s="15">
        <v>202623</v>
      </c>
      <c r="D414" s="18">
        <v>26301</v>
      </c>
      <c r="E414" s="18">
        <v>1</v>
      </c>
      <c r="F414" s="18" t="s">
        <v>52</v>
      </c>
      <c r="G414" s="18">
        <v>5</v>
      </c>
      <c r="H414" s="18">
        <v>40</v>
      </c>
      <c r="I414" s="18">
        <v>1</v>
      </c>
      <c r="J414" s="18" t="s">
        <v>31</v>
      </c>
      <c r="K414" s="18">
        <v>23</v>
      </c>
      <c r="L414" s="18">
        <v>1</v>
      </c>
      <c r="M414" s="17">
        <v>3000</v>
      </c>
      <c r="N414" s="27">
        <f t="shared" si="32"/>
        <v>69000</v>
      </c>
      <c r="O414" s="27">
        <f t="shared" si="30"/>
        <v>690</v>
      </c>
      <c r="P414" s="27">
        <f t="shared" si="31"/>
        <v>69690</v>
      </c>
    </row>
    <row r="415" spans="1:17" x14ac:dyDescent="0.25">
      <c r="A415" s="15" t="s">
        <v>20</v>
      </c>
      <c r="B415" s="16">
        <v>46183.371527777781</v>
      </c>
      <c r="C415" s="15">
        <v>202624</v>
      </c>
      <c r="D415" s="18">
        <v>26301</v>
      </c>
      <c r="E415" s="15">
        <v>1</v>
      </c>
      <c r="F415" s="15" t="s">
        <v>56</v>
      </c>
      <c r="G415" s="15">
        <v>1</v>
      </c>
      <c r="H415" s="15">
        <v>8</v>
      </c>
      <c r="I415" s="15">
        <v>1</v>
      </c>
      <c r="J415" s="29" t="s">
        <v>27</v>
      </c>
      <c r="K415" s="29">
        <v>8</v>
      </c>
      <c r="L415" s="29">
        <v>0.1</v>
      </c>
      <c r="M415" s="27">
        <v>1800</v>
      </c>
      <c r="N415" s="27">
        <f t="shared" si="32"/>
        <v>14400</v>
      </c>
      <c r="O415" s="27">
        <f t="shared" si="30"/>
        <v>144</v>
      </c>
      <c r="P415" s="27">
        <f t="shared" si="31"/>
        <v>14544</v>
      </c>
    </row>
    <row r="416" spans="1:17" x14ac:dyDescent="0.25">
      <c r="A416" s="15" t="s">
        <v>20</v>
      </c>
      <c r="B416" s="16">
        <v>46184.426388888889</v>
      </c>
      <c r="C416" s="15">
        <v>202624</v>
      </c>
      <c r="D416" s="18">
        <v>26301</v>
      </c>
      <c r="E416" s="15">
        <v>1</v>
      </c>
      <c r="F416" s="15" t="s">
        <v>56</v>
      </c>
      <c r="G416" s="15">
        <v>1</v>
      </c>
      <c r="H416" s="15">
        <v>8</v>
      </c>
      <c r="I416" s="15">
        <v>1</v>
      </c>
      <c r="J416" s="29" t="s">
        <v>27</v>
      </c>
      <c r="K416" s="29">
        <v>8</v>
      </c>
      <c r="L416" s="29">
        <v>0.05</v>
      </c>
      <c r="M416" s="27">
        <v>1800</v>
      </c>
      <c r="N416" s="27">
        <f t="shared" si="32"/>
        <v>14400</v>
      </c>
      <c r="O416" s="27">
        <f t="shared" si="30"/>
        <v>144</v>
      </c>
      <c r="P416" s="27">
        <f t="shared" si="31"/>
        <v>14544</v>
      </c>
    </row>
    <row r="417" spans="1:17" x14ac:dyDescent="0.25">
      <c r="A417" s="15" t="s">
        <v>20</v>
      </c>
      <c r="B417" s="16">
        <v>46181.336805555555</v>
      </c>
      <c r="C417" s="15">
        <v>202624</v>
      </c>
      <c r="D417" s="15">
        <v>25206</v>
      </c>
      <c r="E417" s="15">
        <v>2</v>
      </c>
      <c r="F417" s="15" t="s">
        <v>55</v>
      </c>
      <c r="G417" s="15">
        <v>2</v>
      </c>
      <c r="H417" s="15">
        <v>16</v>
      </c>
      <c r="I417" s="15">
        <v>1</v>
      </c>
      <c r="J417" s="15" t="s">
        <v>27</v>
      </c>
      <c r="K417" s="15">
        <v>16</v>
      </c>
      <c r="L417" s="15">
        <v>0.4</v>
      </c>
      <c r="M417" s="27">
        <v>1800</v>
      </c>
      <c r="N417" s="27">
        <f t="shared" si="32"/>
        <v>28800</v>
      </c>
      <c r="O417" s="27">
        <f t="shared" si="30"/>
        <v>288</v>
      </c>
      <c r="P417" s="27">
        <f t="shared" si="31"/>
        <v>29088</v>
      </c>
      <c r="Q417" s="28">
        <v>619</v>
      </c>
    </row>
    <row r="418" spans="1:17" x14ac:dyDescent="0.25">
      <c r="A418" s="18" t="s">
        <v>20</v>
      </c>
      <c r="B418" s="22">
        <v>46182.352083333331</v>
      </c>
      <c r="C418" s="15">
        <v>202624</v>
      </c>
      <c r="D418" s="18">
        <v>25201</v>
      </c>
      <c r="E418" s="18">
        <v>2</v>
      </c>
      <c r="F418" s="18" t="s">
        <v>29</v>
      </c>
      <c r="G418" s="18">
        <v>2</v>
      </c>
      <c r="H418" s="18">
        <v>16</v>
      </c>
      <c r="I418" s="18">
        <v>1</v>
      </c>
      <c r="J418" s="18" t="s">
        <v>27</v>
      </c>
      <c r="K418" s="18">
        <v>16</v>
      </c>
      <c r="L418" s="18">
        <v>0.3</v>
      </c>
      <c r="M418" s="27">
        <v>1800</v>
      </c>
      <c r="N418" s="27">
        <f t="shared" si="32"/>
        <v>28800</v>
      </c>
      <c r="O418" s="27">
        <f t="shared" si="30"/>
        <v>288</v>
      </c>
      <c r="P418" s="27">
        <f t="shared" si="31"/>
        <v>29088</v>
      </c>
      <c r="Q418" s="28">
        <v>629</v>
      </c>
    </row>
    <row r="419" spans="1:17" x14ac:dyDescent="0.25">
      <c r="A419" s="15" t="s">
        <v>20</v>
      </c>
      <c r="B419" s="16">
        <v>46182.349305555559</v>
      </c>
      <c r="C419" s="15">
        <v>202624</v>
      </c>
      <c r="D419" s="15">
        <v>25206</v>
      </c>
      <c r="E419" s="15">
        <v>1</v>
      </c>
      <c r="F419" s="15" t="s">
        <v>45</v>
      </c>
      <c r="G419" s="15">
        <v>2</v>
      </c>
      <c r="H419" s="15">
        <v>16</v>
      </c>
      <c r="I419" s="15">
        <v>1</v>
      </c>
      <c r="J419" s="15" t="s">
        <v>27</v>
      </c>
      <c r="K419" s="15">
        <v>16</v>
      </c>
      <c r="L419" s="15">
        <v>0.4</v>
      </c>
      <c r="M419" s="27">
        <v>1800</v>
      </c>
      <c r="N419" s="27">
        <f t="shared" si="32"/>
        <v>28800</v>
      </c>
      <c r="O419" s="27">
        <f t="shared" si="30"/>
        <v>288</v>
      </c>
      <c r="P419" s="27">
        <f t="shared" si="31"/>
        <v>29088</v>
      </c>
      <c r="Q419" s="28">
        <v>621</v>
      </c>
    </row>
    <row r="420" spans="1:17" x14ac:dyDescent="0.25">
      <c r="A420" s="15" t="s">
        <v>20</v>
      </c>
      <c r="B420" s="16">
        <v>46181.396527777775</v>
      </c>
      <c r="C420" s="15">
        <v>202624</v>
      </c>
      <c r="D420" s="15">
        <v>26210</v>
      </c>
      <c r="E420" s="15">
        <v>3</v>
      </c>
      <c r="F420" s="15" t="s">
        <v>30</v>
      </c>
      <c r="G420" s="15">
        <v>2</v>
      </c>
      <c r="H420" s="15">
        <v>16</v>
      </c>
      <c r="I420" s="15">
        <v>1</v>
      </c>
      <c r="J420" s="15" t="s">
        <v>31</v>
      </c>
      <c r="K420" s="15">
        <v>9</v>
      </c>
      <c r="L420" s="15">
        <v>0.62</v>
      </c>
      <c r="M420" s="27">
        <v>4000</v>
      </c>
      <c r="N420" s="27">
        <f t="shared" si="32"/>
        <v>36000</v>
      </c>
      <c r="O420" s="27">
        <f t="shared" si="30"/>
        <v>360</v>
      </c>
      <c r="P420" s="27">
        <f t="shared" si="31"/>
        <v>36360</v>
      </c>
      <c r="Q420" s="28">
        <v>622</v>
      </c>
    </row>
    <row r="421" spans="1:17" x14ac:dyDescent="0.25">
      <c r="A421" s="18" t="s">
        <v>20</v>
      </c>
      <c r="B421" s="22">
        <v>46181.349305555559</v>
      </c>
      <c r="C421" s="15">
        <v>202624</v>
      </c>
      <c r="D421" s="15">
        <v>26210</v>
      </c>
      <c r="E421" s="18">
        <v>2</v>
      </c>
      <c r="F421" s="18" t="s">
        <v>29</v>
      </c>
      <c r="G421" s="18">
        <v>14</v>
      </c>
      <c r="H421" s="18">
        <v>112</v>
      </c>
      <c r="I421" s="18">
        <v>1</v>
      </c>
      <c r="J421" s="18" t="s">
        <v>27</v>
      </c>
      <c r="K421" s="18">
        <v>112</v>
      </c>
      <c r="L421" s="18">
        <v>0.35</v>
      </c>
      <c r="M421" s="27">
        <v>1800</v>
      </c>
      <c r="N421" s="27">
        <f t="shared" si="32"/>
        <v>201600</v>
      </c>
      <c r="O421" s="27">
        <f t="shared" si="30"/>
        <v>2016</v>
      </c>
      <c r="P421" s="27">
        <f t="shared" si="31"/>
        <v>203616</v>
      </c>
      <c r="Q421" s="28">
        <v>631</v>
      </c>
    </row>
    <row r="422" spans="1:17" x14ac:dyDescent="0.25">
      <c r="A422" s="15" t="s">
        <v>20</v>
      </c>
      <c r="B422" s="16">
        <v>46181.347916666666</v>
      </c>
      <c r="C422" s="15">
        <v>202624</v>
      </c>
      <c r="D422" s="18">
        <v>26213</v>
      </c>
      <c r="E422" s="15">
        <v>1</v>
      </c>
      <c r="F422" s="15" t="s">
        <v>44</v>
      </c>
      <c r="G422" s="15">
        <v>5</v>
      </c>
      <c r="H422" s="15">
        <v>40</v>
      </c>
      <c r="I422" s="15">
        <v>1</v>
      </c>
      <c r="J422" s="15" t="s">
        <v>43</v>
      </c>
      <c r="K422" s="15">
        <v>20790</v>
      </c>
      <c r="L422" s="15">
        <v>0.28000000000000003</v>
      </c>
      <c r="M422" s="27">
        <v>17</v>
      </c>
      <c r="N422" s="27">
        <f t="shared" si="32"/>
        <v>353430</v>
      </c>
      <c r="O422" s="27">
        <f t="shared" si="30"/>
        <v>3534.3</v>
      </c>
      <c r="P422" s="27">
        <f t="shared" si="31"/>
        <v>356964.3</v>
      </c>
      <c r="Q422" s="28">
        <v>623</v>
      </c>
    </row>
    <row r="423" spans="1:17" x14ac:dyDescent="0.25">
      <c r="A423" s="18" t="s">
        <v>20</v>
      </c>
      <c r="B423" s="22">
        <v>46182.37222222222</v>
      </c>
      <c r="C423" s="15">
        <v>202624</v>
      </c>
      <c r="D423" s="18">
        <v>26213</v>
      </c>
      <c r="E423" s="18">
        <v>1</v>
      </c>
      <c r="F423" s="18" t="s">
        <v>37</v>
      </c>
      <c r="G423" s="18">
        <v>2</v>
      </c>
      <c r="H423" s="18">
        <v>22</v>
      </c>
      <c r="I423" s="18">
        <v>1</v>
      </c>
      <c r="J423" s="18" t="s">
        <v>43</v>
      </c>
      <c r="K423" s="18">
        <v>21406</v>
      </c>
      <c r="L423" s="18">
        <v>0.28999999999999998</v>
      </c>
      <c r="M423" s="27">
        <v>2</v>
      </c>
      <c r="N423" s="27">
        <f t="shared" si="32"/>
        <v>42812</v>
      </c>
      <c r="O423" s="27">
        <f t="shared" si="30"/>
        <v>428.12</v>
      </c>
      <c r="P423" s="27">
        <f t="shared" si="31"/>
        <v>43240.12</v>
      </c>
      <c r="Q423" s="28">
        <v>626</v>
      </c>
    </row>
    <row r="424" spans="1:17" x14ac:dyDescent="0.25">
      <c r="A424" s="15" t="s">
        <v>20</v>
      </c>
      <c r="B424" s="16">
        <v>46182.370833333334</v>
      </c>
      <c r="C424" s="15">
        <v>202624</v>
      </c>
      <c r="D424" s="18">
        <v>26213</v>
      </c>
      <c r="E424" s="15">
        <v>1</v>
      </c>
      <c r="F424" s="15" t="s">
        <v>22</v>
      </c>
      <c r="G424" s="15">
        <v>1</v>
      </c>
      <c r="H424" s="15">
        <v>8</v>
      </c>
      <c r="I424" s="15">
        <v>1</v>
      </c>
      <c r="J424" s="15" t="s">
        <v>43</v>
      </c>
      <c r="K424" s="15">
        <v>2</v>
      </c>
      <c r="L424" s="15">
        <v>0.33</v>
      </c>
      <c r="M424" s="27">
        <v>60000</v>
      </c>
      <c r="N424" s="27">
        <f t="shared" si="32"/>
        <v>120000</v>
      </c>
      <c r="O424" s="27">
        <f t="shared" si="30"/>
        <v>1200</v>
      </c>
      <c r="P424" s="27">
        <f t="shared" si="31"/>
        <v>121200</v>
      </c>
      <c r="Q424" s="28">
        <v>625</v>
      </c>
    </row>
    <row r="425" spans="1:17" x14ac:dyDescent="0.25">
      <c r="A425" s="18" t="s">
        <v>20</v>
      </c>
      <c r="B425" s="22">
        <v>46182.369444444441</v>
      </c>
      <c r="C425" s="15">
        <v>202624</v>
      </c>
      <c r="D425" s="15">
        <v>26210</v>
      </c>
      <c r="E425" s="18">
        <v>3</v>
      </c>
      <c r="F425" s="18" t="s">
        <v>30</v>
      </c>
      <c r="G425" s="18">
        <v>1</v>
      </c>
      <c r="H425" s="18">
        <v>9</v>
      </c>
      <c r="I425" s="18">
        <v>1</v>
      </c>
      <c r="J425" s="18" t="s">
        <v>31</v>
      </c>
      <c r="K425" s="18">
        <v>7</v>
      </c>
      <c r="L425" s="18">
        <v>0.48</v>
      </c>
      <c r="M425" s="27">
        <v>4000</v>
      </c>
      <c r="N425" s="27">
        <f t="shared" si="32"/>
        <v>28000</v>
      </c>
      <c r="O425" s="27">
        <f t="shared" si="30"/>
        <v>280</v>
      </c>
      <c r="P425" s="27">
        <f t="shared" si="31"/>
        <v>28280</v>
      </c>
      <c r="Q425" s="28">
        <v>622</v>
      </c>
    </row>
    <row r="426" spans="1:17" x14ac:dyDescent="0.25">
      <c r="A426" s="15" t="s">
        <v>20</v>
      </c>
      <c r="B426" s="16">
        <v>46182.367361111108</v>
      </c>
      <c r="C426" s="15">
        <v>202624</v>
      </c>
      <c r="D426" s="15">
        <v>26210</v>
      </c>
      <c r="E426" s="15">
        <v>2</v>
      </c>
      <c r="F426" s="15" t="s">
        <v>29</v>
      </c>
      <c r="G426" s="15">
        <v>16</v>
      </c>
      <c r="H426" s="15">
        <v>120</v>
      </c>
      <c r="I426" s="15">
        <v>1</v>
      </c>
      <c r="J426" s="15" t="s">
        <v>27</v>
      </c>
      <c r="K426" s="15">
        <v>120</v>
      </c>
      <c r="L426" s="15">
        <v>0.28000000000000003</v>
      </c>
      <c r="M426" s="27">
        <v>1800</v>
      </c>
      <c r="N426" s="27">
        <f t="shared" si="32"/>
        <v>216000</v>
      </c>
      <c r="O426" s="27">
        <f t="shared" si="30"/>
        <v>2160</v>
      </c>
      <c r="P426" s="27">
        <f t="shared" si="31"/>
        <v>218160</v>
      </c>
      <c r="Q426" s="28">
        <v>631</v>
      </c>
    </row>
    <row r="427" spans="1:17" x14ac:dyDescent="0.25">
      <c r="A427" s="18" t="s">
        <v>20</v>
      </c>
      <c r="B427" s="22">
        <v>46182.365972222222</v>
      </c>
      <c r="C427" s="15">
        <v>202624</v>
      </c>
      <c r="D427" s="18">
        <v>26213</v>
      </c>
      <c r="E427" s="18">
        <v>1</v>
      </c>
      <c r="F427" s="18" t="s">
        <v>44</v>
      </c>
      <c r="G427" s="18">
        <v>5</v>
      </c>
      <c r="H427" s="18">
        <v>40</v>
      </c>
      <c r="I427" s="18">
        <v>1</v>
      </c>
      <c r="J427" s="18" t="s">
        <v>43</v>
      </c>
      <c r="K427" s="18">
        <v>25521</v>
      </c>
      <c r="L427" s="18">
        <v>0.35</v>
      </c>
      <c r="M427" s="27">
        <v>17</v>
      </c>
      <c r="N427" s="27">
        <f t="shared" si="32"/>
        <v>433857</v>
      </c>
      <c r="O427" s="27">
        <f t="shared" si="30"/>
        <v>4338.57</v>
      </c>
      <c r="P427" s="27">
        <f t="shared" si="31"/>
        <v>438195.57</v>
      </c>
      <c r="Q427" s="28">
        <v>623</v>
      </c>
    </row>
    <row r="428" spans="1:17" x14ac:dyDescent="0.25">
      <c r="A428" s="18" t="s">
        <v>20</v>
      </c>
      <c r="B428" s="22">
        <v>46183.390277777777</v>
      </c>
      <c r="C428" s="15">
        <v>202624</v>
      </c>
      <c r="D428" s="18">
        <v>26301</v>
      </c>
      <c r="E428" s="18">
        <v>1</v>
      </c>
      <c r="F428" s="18" t="s">
        <v>42</v>
      </c>
      <c r="G428" s="18">
        <v>1</v>
      </c>
      <c r="H428" s="18">
        <v>10</v>
      </c>
      <c r="I428" s="18">
        <v>1</v>
      </c>
      <c r="J428" s="18" t="s">
        <v>43</v>
      </c>
      <c r="K428" s="18">
        <v>118000</v>
      </c>
      <c r="L428" s="30">
        <v>39.332999999999998</v>
      </c>
      <c r="M428" s="27">
        <v>3000</v>
      </c>
      <c r="N428" s="27">
        <f>+M428*L428</f>
        <v>117999</v>
      </c>
      <c r="O428" s="27">
        <f t="shared" si="30"/>
        <v>1179.99</v>
      </c>
      <c r="P428" s="27">
        <f t="shared" si="31"/>
        <v>119178.99</v>
      </c>
      <c r="Q428" s="29">
        <v>624</v>
      </c>
    </row>
    <row r="429" spans="1:17" x14ac:dyDescent="0.25">
      <c r="A429" s="15" t="s">
        <v>20</v>
      </c>
      <c r="B429" s="16">
        <v>46183.387499999997</v>
      </c>
      <c r="C429" s="15">
        <v>202624</v>
      </c>
      <c r="D429" s="18">
        <v>26213</v>
      </c>
      <c r="E429" s="15">
        <v>1</v>
      </c>
      <c r="F429" s="15" t="s">
        <v>37</v>
      </c>
      <c r="G429" s="15">
        <v>2</v>
      </c>
      <c r="H429" s="15">
        <v>22</v>
      </c>
      <c r="I429" s="15">
        <v>1</v>
      </c>
      <c r="J429" s="15" t="s">
        <v>43</v>
      </c>
      <c r="K429" s="15">
        <v>23505</v>
      </c>
      <c r="L429" s="15">
        <v>0.32</v>
      </c>
      <c r="M429" s="27">
        <v>2</v>
      </c>
      <c r="N429" s="27">
        <f t="shared" si="32"/>
        <v>47010</v>
      </c>
      <c r="O429" s="27">
        <f t="shared" si="30"/>
        <v>470.1</v>
      </c>
      <c r="P429" s="27">
        <f t="shared" si="31"/>
        <v>47480.1</v>
      </c>
      <c r="Q429" s="28">
        <v>626</v>
      </c>
    </row>
    <row r="430" spans="1:17" x14ac:dyDescent="0.25">
      <c r="A430" s="18" t="s">
        <v>20</v>
      </c>
      <c r="B430" s="22">
        <v>46183.382638888892</v>
      </c>
      <c r="C430" s="15">
        <v>202624</v>
      </c>
      <c r="D430" s="18">
        <v>26213</v>
      </c>
      <c r="E430" s="18">
        <v>1</v>
      </c>
      <c r="F430" s="18" t="s">
        <v>22</v>
      </c>
      <c r="G430" s="18">
        <v>1</v>
      </c>
      <c r="H430" s="18">
        <v>8</v>
      </c>
      <c r="I430" s="18">
        <v>1</v>
      </c>
      <c r="J430" s="18" t="s">
        <v>43</v>
      </c>
      <c r="K430" s="18">
        <v>1</v>
      </c>
      <c r="L430" s="18">
        <v>0.3</v>
      </c>
      <c r="M430" s="27">
        <v>60000</v>
      </c>
      <c r="N430" s="27">
        <f t="shared" si="32"/>
        <v>60000</v>
      </c>
      <c r="O430" s="27">
        <f t="shared" si="30"/>
        <v>600</v>
      </c>
      <c r="P430" s="27">
        <f t="shared" si="31"/>
        <v>60600</v>
      </c>
      <c r="Q430" s="28">
        <v>625</v>
      </c>
    </row>
    <row r="431" spans="1:17" x14ac:dyDescent="0.25">
      <c r="A431" s="15" t="s">
        <v>20</v>
      </c>
      <c r="B431" s="16">
        <v>46183.380555555559</v>
      </c>
      <c r="C431" s="15">
        <v>202624</v>
      </c>
      <c r="D431" s="15">
        <v>26210</v>
      </c>
      <c r="E431" s="15">
        <v>2</v>
      </c>
      <c r="F431" s="15" t="s">
        <v>29</v>
      </c>
      <c r="G431" s="15">
        <v>14</v>
      </c>
      <c r="H431" s="15">
        <v>94</v>
      </c>
      <c r="I431" s="15">
        <v>1</v>
      </c>
      <c r="J431" s="15" t="s">
        <v>27</v>
      </c>
      <c r="K431" s="15">
        <v>94</v>
      </c>
      <c r="L431" s="15">
        <v>0.26</v>
      </c>
      <c r="M431" s="27">
        <v>1800</v>
      </c>
      <c r="N431" s="27">
        <f t="shared" si="32"/>
        <v>169200</v>
      </c>
      <c r="O431" s="27">
        <f t="shared" si="30"/>
        <v>1692</v>
      </c>
      <c r="P431" s="27">
        <f t="shared" si="31"/>
        <v>170892</v>
      </c>
      <c r="Q431" s="28">
        <v>631</v>
      </c>
    </row>
    <row r="432" spans="1:17" x14ac:dyDescent="0.25">
      <c r="A432" s="18" t="s">
        <v>20</v>
      </c>
      <c r="B432" s="22">
        <v>46183.378472222219</v>
      </c>
      <c r="C432" s="15">
        <v>202624</v>
      </c>
      <c r="D432" s="18">
        <v>26213</v>
      </c>
      <c r="E432" s="18">
        <v>1</v>
      </c>
      <c r="F432" s="18" t="s">
        <v>44</v>
      </c>
      <c r="G432" s="18">
        <v>5</v>
      </c>
      <c r="H432" s="18">
        <v>40</v>
      </c>
      <c r="I432" s="18">
        <v>1</v>
      </c>
      <c r="J432" s="18" t="s">
        <v>43</v>
      </c>
      <c r="K432" s="18">
        <v>26072</v>
      </c>
      <c r="L432" s="18">
        <v>0.36</v>
      </c>
      <c r="M432" s="27">
        <v>17</v>
      </c>
      <c r="N432" s="27">
        <f t="shared" si="32"/>
        <v>443224</v>
      </c>
      <c r="O432" s="27">
        <f t="shared" si="30"/>
        <v>4432.24</v>
      </c>
      <c r="P432" s="27">
        <f t="shared" si="31"/>
        <v>447656.24</v>
      </c>
      <c r="Q432" s="28">
        <v>623</v>
      </c>
    </row>
    <row r="433" spans="1:17" x14ac:dyDescent="0.25">
      <c r="A433" s="15" t="s">
        <v>20</v>
      </c>
      <c r="B433" s="16">
        <v>46182.336805555555</v>
      </c>
      <c r="C433" s="15">
        <v>202624</v>
      </c>
      <c r="D433" s="15">
        <v>25206</v>
      </c>
      <c r="E433" s="15">
        <v>2</v>
      </c>
      <c r="F433" s="15" t="s">
        <v>55</v>
      </c>
      <c r="G433" s="15">
        <v>2</v>
      </c>
      <c r="H433" s="15">
        <v>16</v>
      </c>
      <c r="I433" s="15">
        <v>1</v>
      </c>
      <c r="J433" s="15" t="s">
        <v>27</v>
      </c>
      <c r="K433" s="15">
        <v>16</v>
      </c>
      <c r="L433" s="15">
        <v>0.4</v>
      </c>
      <c r="M433" s="27">
        <v>1800</v>
      </c>
      <c r="N433" s="27">
        <f t="shared" si="32"/>
        <v>28800</v>
      </c>
      <c r="O433" s="27">
        <f t="shared" si="30"/>
        <v>288</v>
      </c>
      <c r="P433" s="27">
        <f t="shared" si="31"/>
        <v>29088</v>
      </c>
      <c r="Q433" s="28">
        <v>619</v>
      </c>
    </row>
    <row r="434" spans="1:17" x14ac:dyDescent="0.25">
      <c r="A434" s="18" t="s">
        <v>20</v>
      </c>
      <c r="B434" s="22">
        <v>46183.35833333333</v>
      </c>
      <c r="C434" s="15">
        <v>202624</v>
      </c>
      <c r="D434" s="15">
        <v>25206</v>
      </c>
      <c r="E434" s="18">
        <v>1</v>
      </c>
      <c r="F434" s="18" t="s">
        <v>55</v>
      </c>
      <c r="G434" s="18">
        <v>2</v>
      </c>
      <c r="H434" s="18">
        <v>16</v>
      </c>
      <c r="I434" s="18">
        <v>1</v>
      </c>
      <c r="J434" s="18" t="s">
        <v>27</v>
      </c>
      <c r="K434" s="18">
        <v>16</v>
      </c>
      <c r="L434" s="18">
        <v>0.15</v>
      </c>
      <c r="M434" s="27">
        <v>1800</v>
      </c>
      <c r="N434" s="27">
        <f t="shared" si="32"/>
        <v>28800</v>
      </c>
      <c r="O434" s="27">
        <f t="shared" si="30"/>
        <v>288</v>
      </c>
      <c r="P434" s="27">
        <f t="shared" si="31"/>
        <v>29088</v>
      </c>
      <c r="Q434" s="29">
        <v>619</v>
      </c>
    </row>
    <row r="435" spans="1:17" x14ac:dyDescent="0.25">
      <c r="A435" s="15" t="s">
        <v>20</v>
      </c>
      <c r="B435" s="16">
        <v>46183.350694444445</v>
      </c>
      <c r="C435" s="15">
        <v>202624</v>
      </c>
      <c r="D435" s="18">
        <v>25201</v>
      </c>
      <c r="E435" s="15">
        <v>2</v>
      </c>
      <c r="F435" s="15" t="s">
        <v>29</v>
      </c>
      <c r="G435" s="15">
        <v>1</v>
      </c>
      <c r="H435" s="15">
        <v>8</v>
      </c>
      <c r="I435" s="15">
        <v>1</v>
      </c>
      <c r="J435" s="15" t="s">
        <v>27</v>
      </c>
      <c r="K435" s="15">
        <v>8</v>
      </c>
      <c r="L435" s="15">
        <v>0.1</v>
      </c>
      <c r="M435" s="27">
        <v>1800</v>
      </c>
      <c r="N435" s="27">
        <f t="shared" si="32"/>
        <v>14400</v>
      </c>
      <c r="O435" s="27">
        <f t="shared" si="30"/>
        <v>144</v>
      </c>
      <c r="P435" s="27">
        <f t="shared" si="31"/>
        <v>14544</v>
      </c>
      <c r="Q435" s="28">
        <v>629</v>
      </c>
    </row>
    <row r="436" spans="1:17" x14ac:dyDescent="0.25">
      <c r="A436" s="18" t="s">
        <v>20</v>
      </c>
      <c r="B436" s="22">
        <v>46184.433333333334</v>
      </c>
      <c r="C436" s="15">
        <v>202624</v>
      </c>
      <c r="D436" s="15">
        <v>25205</v>
      </c>
      <c r="E436" s="18">
        <v>3</v>
      </c>
      <c r="F436" s="18" t="s">
        <v>29</v>
      </c>
      <c r="G436" s="18">
        <v>2</v>
      </c>
      <c r="H436" s="18">
        <v>16</v>
      </c>
      <c r="I436" s="18">
        <v>1</v>
      </c>
      <c r="J436" s="18" t="s">
        <v>27</v>
      </c>
      <c r="K436" s="18">
        <v>16</v>
      </c>
      <c r="L436" s="18">
        <v>0.08</v>
      </c>
      <c r="M436" s="27">
        <v>1800</v>
      </c>
      <c r="N436" s="27">
        <f t="shared" si="32"/>
        <v>28800</v>
      </c>
      <c r="O436" s="27">
        <f t="shared" si="30"/>
        <v>288</v>
      </c>
      <c r="P436" s="27">
        <f t="shared" si="31"/>
        <v>29088</v>
      </c>
      <c r="Q436" s="28">
        <v>630</v>
      </c>
    </row>
    <row r="437" spans="1:17" x14ac:dyDescent="0.25">
      <c r="A437" s="15" t="s">
        <v>20</v>
      </c>
      <c r="B437" s="16">
        <v>46184.429166666669</v>
      </c>
      <c r="C437" s="15">
        <v>202624</v>
      </c>
      <c r="D437" s="18">
        <v>25201</v>
      </c>
      <c r="E437" s="15">
        <v>2</v>
      </c>
      <c r="F437" s="15" t="s">
        <v>29</v>
      </c>
      <c r="G437" s="15">
        <v>1</v>
      </c>
      <c r="H437" s="15">
        <v>8</v>
      </c>
      <c r="I437" s="15">
        <v>1</v>
      </c>
      <c r="J437" s="15" t="s">
        <v>27</v>
      </c>
      <c r="K437" s="15">
        <v>8</v>
      </c>
      <c r="L437" s="15">
        <v>0.05</v>
      </c>
      <c r="M437" s="27">
        <v>1800</v>
      </c>
      <c r="N437" s="27">
        <f t="shared" si="32"/>
        <v>14400</v>
      </c>
      <c r="O437" s="27">
        <f t="shared" si="30"/>
        <v>144</v>
      </c>
      <c r="P437" s="27">
        <f t="shared" si="31"/>
        <v>14544</v>
      </c>
      <c r="Q437" s="28">
        <v>629</v>
      </c>
    </row>
    <row r="438" spans="1:17" x14ac:dyDescent="0.25">
      <c r="A438" s="18" t="s">
        <v>20</v>
      </c>
      <c r="B438" s="22">
        <v>46184.427777777775</v>
      </c>
      <c r="C438" s="15">
        <v>202624</v>
      </c>
      <c r="D438" s="15">
        <v>25206</v>
      </c>
      <c r="E438" s="18">
        <v>1</v>
      </c>
      <c r="F438" s="18" t="s">
        <v>55</v>
      </c>
      <c r="G438" s="18">
        <v>2</v>
      </c>
      <c r="H438" s="18">
        <v>16</v>
      </c>
      <c r="I438" s="18">
        <v>1</v>
      </c>
      <c r="J438" s="18" t="s">
        <v>27</v>
      </c>
      <c r="K438" s="18">
        <v>16</v>
      </c>
      <c r="L438" s="18">
        <v>0.1</v>
      </c>
      <c r="M438" s="27">
        <v>1800</v>
      </c>
      <c r="N438" s="27">
        <f>+K438*M438</f>
        <v>28800</v>
      </c>
      <c r="O438" s="27">
        <f t="shared" si="30"/>
        <v>288</v>
      </c>
      <c r="P438" s="27">
        <f t="shared" si="31"/>
        <v>29088</v>
      </c>
      <c r="Q438" s="29">
        <v>619</v>
      </c>
    </row>
    <row r="439" spans="1:17" x14ac:dyDescent="0.25">
      <c r="A439" s="18" t="s">
        <v>20</v>
      </c>
      <c r="B439" s="22">
        <v>46184.411805555559</v>
      </c>
      <c r="C439" s="15">
        <v>202624</v>
      </c>
      <c r="D439" s="18">
        <v>26213</v>
      </c>
      <c r="E439" s="18">
        <v>1</v>
      </c>
      <c r="F439" s="18" t="s">
        <v>22</v>
      </c>
      <c r="G439" s="18">
        <v>1</v>
      </c>
      <c r="H439" s="18">
        <v>8</v>
      </c>
      <c r="I439" s="18">
        <v>1</v>
      </c>
      <c r="J439" s="18" t="s">
        <v>43</v>
      </c>
      <c r="K439" s="18">
        <v>1</v>
      </c>
      <c r="L439" s="18">
        <v>0.16</v>
      </c>
      <c r="M439" s="27">
        <v>60000</v>
      </c>
      <c r="N439" s="27">
        <f t="shared" ref="N439:N458" si="33">+K439*M439</f>
        <v>60000</v>
      </c>
      <c r="O439" s="27">
        <f t="shared" si="30"/>
        <v>600</v>
      </c>
      <c r="P439" s="27">
        <f t="shared" si="31"/>
        <v>60600</v>
      </c>
      <c r="Q439" s="28">
        <v>625</v>
      </c>
    </row>
    <row r="440" spans="1:17" x14ac:dyDescent="0.25">
      <c r="A440" s="15" t="s">
        <v>20</v>
      </c>
      <c r="B440" s="16">
        <v>46184.410416666666</v>
      </c>
      <c r="C440" s="15">
        <v>202624</v>
      </c>
      <c r="D440" s="15">
        <v>26210</v>
      </c>
      <c r="E440" s="15">
        <v>3</v>
      </c>
      <c r="F440" s="15" t="s">
        <v>30</v>
      </c>
      <c r="G440" s="15">
        <v>1</v>
      </c>
      <c r="H440" s="15">
        <v>9</v>
      </c>
      <c r="I440" s="15">
        <v>1</v>
      </c>
      <c r="J440" s="15" t="s">
        <v>31</v>
      </c>
      <c r="K440" s="15">
        <v>6</v>
      </c>
      <c r="L440" s="15">
        <v>0.42</v>
      </c>
      <c r="M440" s="27">
        <v>4000</v>
      </c>
      <c r="N440" s="27">
        <f t="shared" si="33"/>
        <v>24000</v>
      </c>
      <c r="O440" s="27">
        <f t="shared" si="30"/>
        <v>240</v>
      </c>
      <c r="P440" s="27">
        <f t="shared" si="31"/>
        <v>24240</v>
      </c>
      <c r="Q440" s="28">
        <v>622</v>
      </c>
    </row>
    <row r="441" spans="1:17" x14ac:dyDescent="0.25">
      <c r="A441" s="18" t="s">
        <v>20</v>
      </c>
      <c r="B441" s="22">
        <v>46184.408333333333</v>
      </c>
      <c r="C441" s="15">
        <v>202624</v>
      </c>
      <c r="D441" s="15">
        <v>26210</v>
      </c>
      <c r="E441" s="18">
        <v>2</v>
      </c>
      <c r="F441" s="18" t="s">
        <v>29</v>
      </c>
      <c r="G441" s="18">
        <v>14</v>
      </c>
      <c r="H441" s="18">
        <v>108</v>
      </c>
      <c r="I441" s="18">
        <v>1</v>
      </c>
      <c r="J441" s="18" t="s">
        <v>27</v>
      </c>
      <c r="K441" s="18">
        <v>108</v>
      </c>
      <c r="L441" s="18">
        <v>0.2</v>
      </c>
      <c r="M441" s="27">
        <v>1800</v>
      </c>
      <c r="N441" s="27">
        <f t="shared" si="33"/>
        <v>194400</v>
      </c>
      <c r="O441" s="27">
        <f t="shared" si="30"/>
        <v>1944</v>
      </c>
      <c r="P441" s="27">
        <f t="shared" si="31"/>
        <v>196344</v>
      </c>
      <c r="Q441" s="28">
        <v>631</v>
      </c>
    </row>
    <row r="442" spans="1:17" x14ac:dyDescent="0.25">
      <c r="A442" s="15" t="s">
        <v>20</v>
      </c>
      <c r="B442" s="16">
        <v>46184.40625</v>
      </c>
      <c r="C442" s="15">
        <v>202624</v>
      </c>
      <c r="D442" s="18">
        <v>26213</v>
      </c>
      <c r="E442" s="15">
        <v>1</v>
      </c>
      <c r="F442" s="15" t="s">
        <v>44</v>
      </c>
      <c r="G442" s="15">
        <v>6</v>
      </c>
      <c r="H442" s="15">
        <v>48</v>
      </c>
      <c r="I442" s="15">
        <v>1</v>
      </c>
      <c r="J442" s="15" t="s">
        <v>43</v>
      </c>
      <c r="K442" s="15">
        <v>30434</v>
      </c>
      <c r="L442" s="15">
        <v>0.42</v>
      </c>
      <c r="M442" s="27">
        <v>17</v>
      </c>
      <c r="N442" s="27">
        <f t="shared" si="33"/>
        <v>517378</v>
      </c>
      <c r="O442" s="27">
        <f t="shared" si="30"/>
        <v>5173.78</v>
      </c>
      <c r="P442" s="27">
        <f t="shared" si="31"/>
        <v>522551.78</v>
      </c>
      <c r="Q442" s="28">
        <v>623</v>
      </c>
    </row>
    <row r="443" spans="1:17" x14ac:dyDescent="0.25">
      <c r="A443" s="18" t="s">
        <v>20</v>
      </c>
      <c r="B443" s="22">
        <v>46185.429861111108</v>
      </c>
      <c r="C443" s="15">
        <v>202624</v>
      </c>
      <c r="D443" s="18">
        <v>26213</v>
      </c>
      <c r="E443" s="18">
        <v>1</v>
      </c>
      <c r="F443" s="18" t="s">
        <v>22</v>
      </c>
      <c r="G443" s="18">
        <v>1</v>
      </c>
      <c r="H443" s="18">
        <v>8</v>
      </c>
      <c r="I443" s="18">
        <v>1</v>
      </c>
      <c r="J443" s="18" t="s">
        <v>43</v>
      </c>
      <c r="K443" s="18">
        <v>1</v>
      </c>
      <c r="L443" s="18">
        <v>0.27</v>
      </c>
      <c r="M443" s="27">
        <v>80000</v>
      </c>
      <c r="N443" s="27">
        <f t="shared" si="33"/>
        <v>80000</v>
      </c>
      <c r="O443" s="27">
        <f t="shared" ref="O443:O458" si="34">+N443*0.01</f>
        <v>800</v>
      </c>
      <c r="P443" s="27">
        <f t="shared" ref="P443:P458" si="35">+N443+O443</f>
        <v>80800</v>
      </c>
      <c r="Q443" s="28">
        <v>625</v>
      </c>
    </row>
    <row r="444" spans="1:17" x14ac:dyDescent="0.25">
      <c r="A444" s="15" t="s">
        <v>20</v>
      </c>
      <c r="B444" s="16">
        <v>46185.427777777775</v>
      </c>
      <c r="C444" s="15">
        <v>202624</v>
      </c>
      <c r="D444" s="18">
        <v>26213</v>
      </c>
      <c r="E444" s="15">
        <v>1</v>
      </c>
      <c r="F444" s="15" t="s">
        <v>37</v>
      </c>
      <c r="G444" s="15">
        <v>2</v>
      </c>
      <c r="H444" s="15">
        <v>22</v>
      </c>
      <c r="I444" s="15">
        <v>1</v>
      </c>
      <c r="J444" s="15" t="s">
        <v>43</v>
      </c>
      <c r="K444" s="15">
        <v>34160</v>
      </c>
      <c r="L444" s="15">
        <v>0.47</v>
      </c>
      <c r="M444" s="27">
        <v>2</v>
      </c>
      <c r="N444" s="27">
        <f t="shared" si="33"/>
        <v>68320</v>
      </c>
      <c r="O444" s="27">
        <f t="shared" si="34"/>
        <v>683.2</v>
      </c>
      <c r="P444" s="27">
        <f t="shared" si="35"/>
        <v>69003.199999999997</v>
      </c>
      <c r="Q444" s="28">
        <v>626</v>
      </c>
    </row>
    <row r="445" spans="1:17" x14ac:dyDescent="0.25">
      <c r="A445" s="18" t="s">
        <v>20</v>
      </c>
      <c r="B445" s="22">
        <v>46185.425694444442</v>
      </c>
      <c r="C445" s="15">
        <v>202624</v>
      </c>
      <c r="D445" s="15">
        <v>26210</v>
      </c>
      <c r="E445" s="18">
        <v>3</v>
      </c>
      <c r="F445" s="18" t="s">
        <v>30</v>
      </c>
      <c r="G445" s="18">
        <v>1</v>
      </c>
      <c r="H445" s="18">
        <v>8</v>
      </c>
      <c r="I445" s="18">
        <v>1</v>
      </c>
      <c r="J445" s="18" t="s">
        <v>31</v>
      </c>
      <c r="K445" s="18">
        <v>6</v>
      </c>
      <c r="L445" s="18">
        <v>0.4</v>
      </c>
      <c r="M445" s="27">
        <v>4000</v>
      </c>
      <c r="N445" s="27">
        <f t="shared" si="33"/>
        <v>24000</v>
      </c>
      <c r="O445" s="27">
        <f t="shared" si="34"/>
        <v>240</v>
      </c>
      <c r="P445" s="27">
        <f t="shared" si="35"/>
        <v>24240</v>
      </c>
      <c r="Q445" s="28">
        <v>622</v>
      </c>
    </row>
    <row r="446" spans="1:17" x14ac:dyDescent="0.25">
      <c r="A446" s="15" t="s">
        <v>20</v>
      </c>
      <c r="B446" s="16">
        <v>46185.424305555556</v>
      </c>
      <c r="C446" s="15">
        <v>202624</v>
      </c>
      <c r="D446" s="15">
        <v>25205</v>
      </c>
      <c r="E446" s="15">
        <v>3</v>
      </c>
      <c r="F446" s="15" t="s">
        <v>29</v>
      </c>
      <c r="G446" s="15">
        <v>2</v>
      </c>
      <c r="H446" s="15">
        <v>16</v>
      </c>
      <c r="I446" s="15">
        <v>1</v>
      </c>
      <c r="J446" s="15" t="s">
        <v>27</v>
      </c>
      <c r="K446" s="15">
        <v>16</v>
      </c>
      <c r="L446" s="15">
        <v>0.1</v>
      </c>
      <c r="M446" s="27">
        <v>1800</v>
      </c>
      <c r="N446" s="27">
        <f t="shared" si="33"/>
        <v>28800</v>
      </c>
      <c r="O446" s="27">
        <f t="shared" si="34"/>
        <v>288</v>
      </c>
      <c r="P446" s="27">
        <f t="shared" si="35"/>
        <v>29088</v>
      </c>
      <c r="Q446" s="28">
        <v>630</v>
      </c>
    </row>
    <row r="447" spans="1:17" x14ac:dyDescent="0.25">
      <c r="A447" s="18" t="s">
        <v>20</v>
      </c>
      <c r="B447" s="22">
        <v>46185.423611111109</v>
      </c>
      <c r="C447" s="15">
        <v>202624</v>
      </c>
      <c r="D447" s="15">
        <v>26210</v>
      </c>
      <c r="E447" s="18">
        <v>1</v>
      </c>
      <c r="F447" s="18" t="s">
        <v>29</v>
      </c>
      <c r="G447" s="18">
        <v>14</v>
      </c>
      <c r="H447" s="18">
        <v>112</v>
      </c>
      <c r="I447" s="18">
        <v>1</v>
      </c>
      <c r="J447" s="18" t="s">
        <v>27</v>
      </c>
      <c r="K447" s="18">
        <v>112</v>
      </c>
      <c r="L447" s="18">
        <v>0.2</v>
      </c>
      <c r="M447" s="27">
        <v>1800</v>
      </c>
      <c r="N447" s="27">
        <f t="shared" si="33"/>
        <v>201600</v>
      </c>
      <c r="O447" s="27">
        <f t="shared" si="34"/>
        <v>2016</v>
      </c>
      <c r="P447" s="27">
        <f t="shared" si="35"/>
        <v>203616</v>
      </c>
      <c r="Q447" s="28">
        <v>631</v>
      </c>
    </row>
    <row r="448" spans="1:17" x14ac:dyDescent="0.25">
      <c r="A448" s="15" t="s">
        <v>20</v>
      </c>
      <c r="B448" s="16">
        <v>46185.42291666667</v>
      </c>
      <c r="C448" s="15">
        <v>202624</v>
      </c>
      <c r="D448" s="18">
        <v>25201</v>
      </c>
      <c r="E448" s="15">
        <v>2</v>
      </c>
      <c r="F448" s="15" t="s">
        <v>29</v>
      </c>
      <c r="G448" s="15">
        <v>2</v>
      </c>
      <c r="H448" s="15">
        <v>16</v>
      </c>
      <c r="I448" s="15">
        <v>1</v>
      </c>
      <c r="J448" s="15" t="s">
        <v>27</v>
      </c>
      <c r="K448" s="15">
        <v>16</v>
      </c>
      <c r="L448" s="15">
        <v>0.15</v>
      </c>
      <c r="M448" s="27">
        <v>1800</v>
      </c>
      <c r="N448" s="27">
        <f t="shared" si="33"/>
        <v>28800</v>
      </c>
      <c r="O448" s="27">
        <f t="shared" si="34"/>
        <v>288</v>
      </c>
      <c r="P448" s="27">
        <f t="shared" si="35"/>
        <v>29088</v>
      </c>
      <c r="Q448" s="28">
        <v>629</v>
      </c>
    </row>
    <row r="449" spans="1:17" x14ac:dyDescent="0.25">
      <c r="A449" s="18" t="s">
        <v>20</v>
      </c>
      <c r="B449" s="22">
        <v>46185.421527777777</v>
      </c>
      <c r="C449" s="15">
        <v>202624</v>
      </c>
      <c r="D449" s="18">
        <v>26213</v>
      </c>
      <c r="E449" s="18">
        <v>1</v>
      </c>
      <c r="F449" s="18" t="s">
        <v>44</v>
      </c>
      <c r="G449" s="18">
        <v>7</v>
      </c>
      <c r="H449" s="18">
        <v>56</v>
      </c>
      <c r="I449" s="18">
        <v>1</v>
      </c>
      <c r="J449" s="18" t="s">
        <v>43</v>
      </c>
      <c r="K449" s="18">
        <v>33260</v>
      </c>
      <c r="L449" s="18">
        <v>0.46</v>
      </c>
      <c r="M449" s="27">
        <v>17</v>
      </c>
      <c r="N449" s="27">
        <f t="shared" si="33"/>
        <v>565420</v>
      </c>
      <c r="O449" s="27">
        <f t="shared" si="34"/>
        <v>5654.2</v>
      </c>
      <c r="P449" s="27">
        <f t="shared" si="35"/>
        <v>571074.19999999995</v>
      </c>
      <c r="Q449" s="28">
        <v>623</v>
      </c>
    </row>
    <row r="450" spans="1:17" x14ac:dyDescent="0.25">
      <c r="A450" s="15" t="s">
        <v>20</v>
      </c>
      <c r="B450" s="16">
        <v>46185.417361111111</v>
      </c>
      <c r="C450" s="15">
        <v>202624</v>
      </c>
      <c r="D450" s="15">
        <v>25206</v>
      </c>
      <c r="E450" s="15">
        <v>1</v>
      </c>
      <c r="F450" s="15" t="s">
        <v>55</v>
      </c>
      <c r="G450" s="15">
        <v>2</v>
      </c>
      <c r="H450" s="15">
        <v>16</v>
      </c>
      <c r="I450" s="15">
        <v>1</v>
      </c>
      <c r="J450" s="15" t="s">
        <v>27</v>
      </c>
      <c r="K450" s="15">
        <v>16</v>
      </c>
      <c r="L450" s="15">
        <v>0.1</v>
      </c>
      <c r="M450" s="27">
        <v>1800</v>
      </c>
      <c r="N450" s="27">
        <f t="shared" si="33"/>
        <v>28800</v>
      </c>
      <c r="O450" s="27">
        <f t="shared" si="34"/>
        <v>288</v>
      </c>
      <c r="P450" s="27">
        <f t="shared" si="35"/>
        <v>29088</v>
      </c>
      <c r="Q450" s="29">
        <v>619</v>
      </c>
    </row>
    <row r="451" spans="1:17" x14ac:dyDescent="0.25">
      <c r="A451" s="18" t="s">
        <v>20</v>
      </c>
      <c r="B451" s="22">
        <v>46186.460416666669</v>
      </c>
      <c r="C451" s="15">
        <v>202624</v>
      </c>
      <c r="D451" s="15">
        <v>25205</v>
      </c>
      <c r="E451" s="18">
        <v>3</v>
      </c>
      <c r="F451" s="18" t="s">
        <v>29</v>
      </c>
      <c r="G451" s="18">
        <v>2</v>
      </c>
      <c r="H451" s="18">
        <v>16</v>
      </c>
      <c r="I451" s="18">
        <v>1</v>
      </c>
      <c r="J451" s="18" t="s">
        <v>27</v>
      </c>
      <c r="K451" s="18">
        <v>16</v>
      </c>
      <c r="L451" s="18">
        <v>0.08</v>
      </c>
      <c r="M451" s="27">
        <v>1800</v>
      </c>
      <c r="N451" s="27">
        <f t="shared" si="33"/>
        <v>28800</v>
      </c>
      <c r="O451" s="27">
        <f t="shared" si="34"/>
        <v>288</v>
      </c>
      <c r="P451" s="27">
        <f t="shared" si="35"/>
        <v>29088</v>
      </c>
      <c r="Q451" s="28">
        <v>630</v>
      </c>
    </row>
    <row r="452" spans="1:17" x14ac:dyDescent="0.25">
      <c r="A452" s="15" t="s">
        <v>20</v>
      </c>
      <c r="B452" s="16">
        <v>46186.458333333336</v>
      </c>
      <c r="C452" s="15">
        <v>202624</v>
      </c>
      <c r="D452" s="18">
        <v>25201</v>
      </c>
      <c r="E452" s="15">
        <v>2</v>
      </c>
      <c r="F452" s="15" t="s">
        <v>29</v>
      </c>
      <c r="G452" s="15">
        <v>2</v>
      </c>
      <c r="H452" s="15">
        <v>16</v>
      </c>
      <c r="I452" s="15">
        <v>1</v>
      </c>
      <c r="J452" s="15" t="s">
        <v>27</v>
      </c>
      <c r="K452" s="15">
        <v>16</v>
      </c>
      <c r="L452" s="15">
        <v>0.1</v>
      </c>
      <c r="M452" s="27">
        <v>1800</v>
      </c>
      <c r="N452" s="27">
        <f t="shared" si="33"/>
        <v>28800</v>
      </c>
      <c r="O452" s="27">
        <f t="shared" si="34"/>
        <v>288</v>
      </c>
      <c r="P452" s="27">
        <f t="shared" si="35"/>
        <v>29088</v>
      </c>
      <c r="Q452" s="28">
        <v>629</v>
      </c>
    </row>
    <row r="453" spans="1:17" x14ac:dyDescent="0.25">
      <c r="A453" s="18" t="s">
        <v>20</v>
      </c>
      <c r="B453" s="22">
        <v>46186.429861111108</v>
      </c>
      <c r="C453" s="15">
        <v>202624</v>
      </c>
      <c r="D453" s="18">
        <v>26213</v>
      </c>
      <c r="E453" s="18">
        <v>1</v>
      </c>
      <c r="F453" s="18" t="s">
        <v>37</v>
      </c>
      <c r="G453" s="18">
        <v>2</v>
      </c>
      <c r="H453" s="18">
        <v>22</v>
      </c>
      <c r="I453" s="18">
        <v>1</v>
      </c>
      <c r="J453" s="18" t="s">
        <v>43</v>
      </c>
      <c r="K453" s="18">
        <v>22888</v>
      </c>
      <c r="L453" s="18">
        <v>0.31</v>
      </c>
      <c r="M453" s="27">
        <v>2</v>
      </c>
      <c r="N453" s="27">
        <f t="shared" si="33"/>
        <v>45776</v>
      </c>
      <c r="O453" s="27">
        <f t="shared" si="34"/>
        <v>457.76</v>
      </c>
      <c r="P453" s="27">
        <f t="shared" si="35"/>
        <v>46233.760000000002</v>
      </c>
      <c r="Q453" s="28">
        <v>626</v>
      </c>
    </row>
    <row r="454" spans="1:17" x14ac:dyDescent="0.25">
      <c r="A454" s="15" t="s">
        <v>20</v>
      </c>
      <c r="B454" s="16">
        <v>46186.425694444442</v>
      </c>
      <c r="C454" s="15">
        <v>202624</v>
      </c>
      <c r="D454" s="18">
        <v>26213</v>
      </c>
      <c r="E454" s="15">
        <v>1</v>
      </c>
      <c r="F454" s="15" t="s">
        <v>37</v>
      </c>
      <c r="G454" s="15">
        <v>2</v>
      </c>
      <c r="H454" s="15">
        <v>22</v>
      </c>
      <c r="I454" s="15">
        <v>1</v>
      </c>
      <c r="J454" s="15" t="s">
        <v>43</v>
      </c>
      <c r="K454" s="15">
        <v>21328</v>
      </c>
      <c r="L454" s="15">
        <v>0.28999999999999998</v>
      </c>
      <c r="M454" s="27">
        <v>2</v>
      </c>
      <c r="N454" s="27">
        <f t="shared" si="33"/>
        <v>42656</v>
      </c>
      <c r="O454" s="27">
        <f t="shared" si="34"/>
        <v>426.56</v>
      </c>
      <c r="P454" s="27">
        <f t="shared" si="35"/>
        <v>43082.559999999998</v>
      </c>
      <c r="Q454" s="28">
        <v>626</v>
      </c>
    </row>
    <row r="455" spans="1:17" x14ac:dyDescent="0.25">
      <c r="A455" s="18" t="s">
        <v>20</v>
      </c>
      <c r="B455" s="22">
        <v>46186.421527777777</v>
      </c>
      <c r="C455" s="15">
        <v>202624</v>
      </c>
      <c r="D455" s="18">
        <v>26213</v>
      </c>
      <c r="E455" s="18">
        <v>1</v>
      </c>
      <c r="F455" s="18" t="s">
        <v>22</v>
      </c>
      <c r="G455" s="18">
        <v>1</v>
      </c>
      <c r="H455" s="18">
        <v>8</v>
      </c>
      <c r="I455" s="18">
        <v>1</v>
      </c>
      <c r="J455" s="18" t="s">
        <v>43</v>
      </c>
      <c r="K455" s="18">
        <v>2</v>
      </c>
      <c r="L455" s="18">
        <v>0.2</v>
      </c>
      <c r="M455" s="27">
        <v>60000</v>
      </c>
      <c r="N455" s="27">
        <f t="shared" si="33"/>
        <v>120000</v>
      </c>
      <c r="O455" s="27">
        <f t="shared" si="34"/>
        <v>1200</v>
      </c>
      <c r="P455" s="27">
        <f t="shared" si="35"/>
        <v>121200</v>
      </c>
      <c r="Q455" s="28">
        <v>625</v>
      </c>
    </row>
    <row r="456" spans="1:17" x14ac:dyDescent="0.25">
      <c r="A456" s="15" t="s">
        <v>20</v>
      </c>
      <c r="B456" s="16">
        <v>46186.418749999997</v>
      </c>
      <c r="C456" s="15">
        <v>202624</v>
      </c>
      <c r="D456" s="15">
        <v>26210</v>
      </c>
      <c r="E456" s="15">
        <v>3</v>
      </c>
      <c r="F456" s="15" t="s">
        <v>30</v>
      </c>
      <c r="G456" s="15">
        <v>1</v>
      </c>
      <c r="H456" s="15">
        <v>8</v>
      </c>
      <c r="I456" s="15">
        <v>1</v>
      </c>
      <c r="J456" s="15" t="s">
        <v>31</v>
      </c>
      <c r="K456" s="15">
        <v>4</v>
      </c>
      <c r="L456" s="15">
        <v>0.27</v>
      </c>
      <c r="M456" s="27">
        <v>4000</v>
      </c>
      <c r="N456" s="27">
        <f t="shared" si="33"/>
        <v>16000</v>
      </c>
      <c r="O456" s="27">
        <f t="shared" si="34"/>
        <v>160</v>
      </c>
      <c r="P456" s="27">
        <f t="shared" si="35"/>
        <v>16160</v>
      </c>
      <c r="Q456" s="28">
        <v>622</v>
      </c>
    </row>
    <row r="457" spans="1:17" x14ac:dyDescent="0.25">
      <c r="A457" s="18" t="s">
        <v>20</v>
      </c>
      <c r="B457" s="22">
        <v>46186.416666666664</v>
      </c>
      <c r="C457" s="15">
        <v>202624</v>
      </c>
      <c r="D457" s="18">
        <v>26213</v>
      </c>
      <c r="E457" s="18">
        <v>1</v>
      </c>
      <c r="F457" s="18" t="s">
        <v>29</v>
      </c>
      <c r="G457" s="18">
        <v>9</v>
      </c>
      <c r="H457" s="18">
        <v>72</v>
      </c>
      <c r="I457" s="18">
        <v>1</v>
      </c>
      <c r="J457" s="18" t="s">
        <v>27</v>
      </c>
      <c r="K457" s="18">
        <v>72</v>
      </c>
      <c r="L457" s="18">
        <v>0.15</v>
      </c>
      <c r="M457" s="27">
        <v>1800</v>
      </c>
      <c r="N457" s="27">
        <f t="shared" si="33"/>
        <v>129600</v>
      </c>
      <c r="O457" s="27">
        <f t="shared" si="34"/>
        <v>1296</v>
      </c>
      <c r="P457" s="27">
        <f t="shared" si="35"/>
        <v>130896</v>
      </c>
      <c r="Q457" s="28">
        <v>632</v>
      </c>
    </row>
    <row r="458" spans="1:17" x14ac:dyDescent="0.25">
      <c r="A458" s="15" t="s">
        <v>20</v>
      </c>
      <c r="B458" s="16">
        <v>46186.413194444445</v>
      </c>
      <c r="C458" s="15">
        <v>202624</v>
      </c>
      <c r="D458" s="15">
        <v>26213</v>
      </c>
      <c r="E458" s="15">
        <v>1</v>
      </c>
      <c r="F458" s="15" t="s">
        <v>44</v>
      </c>
      <c r="G458" s="15">
        <v>6</v>
      </c>
      <c r="H458" s="15">
        <v>48</v>
      </c>
      <c r="I458" s="15">
        <v>1</v>
      </c>
      <c r="J458" s="15" t="s">
        <v>43</v>
      </c>
      <c r="K458" s="15">
        <v>29168</v>
      </c>
      <c r="L458" s="15">
        <v>0.4</v>
      </c>
      <c r="M458" s="27">
        <v>17</v>
      </c>
      <c r="N458" s="27">
        <f t="shared" si="33"/>
        <v>495856</v>
      </c>
      <c r="O458" s="27">
        <f t="shared" si="34"/>
        <v>4958.5600000000004</v>
      </c>
      <c r="P458" s="27">
        <f t="shared" si="35"/>
        <v>500814.56</v>
      </c>
      <c r="Q458" s="28">
        <v>623</v>
      </c>
    </row>
    <row r="459" spans="1:17" x14ac:dyDescent="0.25">
      <c r="A459" s="20"/>
      <c r="B459" s="20"/>
      <c r="C459" s="20"/>
      <c r="D459" s="20"/>
      <c r="E459" s="20"/>
      <c r="F459" s="20"/>
      <c r="G459" s="20"/>
      <c r="H459" s="20"/>
      <c r="I459" s="20"/>
    </row>
    <row r="460" spans="1:17" x14ac:dyDescent="0.25">
      <c r="A460" s="20"/>
      <c r="B460" s="20"/>
      <c r="C460" s="20"/>
      <c r="D460" s="20"/>
      <c r="E460" s="20"/>
      <c r="F460" s="20"/>
      <c r="G460" s="20"/>
      <c r="H460" s="20"/>
      <c r="I460" s="20"/>
    </row>
    <row r="461" spans="1:17" x14ac:dyDescent="0.25">
      <c r="A461" s="20"/>
      <c r="B461" s="20"/>
      <c r="C461" s="20"/>
      <c r="D461" s="20"/>
      <c r="E461" s="20"/>
      <c r="F461" s="20"/>
      <c r="G461" s="20"/>
      <c r="H461" s="20"/>
      <c r="I461" s="20"/>
    </row>
    <row r="462" spans="1:17" x14ac:dyDescent="0.25">
      <c r="A462" s="20"/>
      <c r="B462" s="20"/>
      <c r="C462" s="20"/>
      <c r="D462" s="20"/>
      <c r="E462" s="20"/>
      <c r="F462" s="20"/>
      <c r="G462" s="20"/>
      <c r="H462" s="20"/>
      <c r="I462" s="20"/>
    </row>
    <row r="463" spans="1:17" x14ac:dyDescent="0.25">
      <c r="A463" s="20"/>
      <c r="B463" s="20"/>
      <c r="C463" s="20"/>
      <c r="D463" s="20"/>
      <c r="E463" s="20"/>
      <c r="F463" s="20"/>
      <c r="G463" s="20"/>
      <c r="H463" s="20"/>
      <c r="I463" s="20"/>
    </row>
    <row r="464" spans="1:17" x14ac:dyDescent="0.25">
      <c r="A464" s="20"/>
      <c r="B464" s="20"/>
      <c r="C464" s="20"/>
      <c r="D464" s="20"/>
      <c r="E464" s="20"/>
      <c r="F464" s="20"/>
      <c r="G464" s="20"/>
      <c r="H464" s="20"/>
      <c r="I464" s="20"/>
    </row>
    <row r="465" spans="1:9" x14ac:dyDescent="0.25">
      <c r="A465" s="20"/>
      <c r="B465" s="20"/>
      <c r="C465" s="20"/>
      <c r="D465" s="20"/>
      <c r="E465" s="20"/>
      <c r="F465" s="20"/>
      <c r="G465" s="20"/>
      <c r="H465" s="20"/>
      <c r="I465" s="20"/>
    </row>
    <row r="466" spans="1:9" x14ac:dyDescent="0.25">
      <c r="A466" s="20"/>
      <c r="B466" s="20"/>
      <c r="C466" s="20"/>
      <c r="D466" s="20"/>
      <c r="E466" s="20"/>
      <c r="F466" s="20"/>
      <c r="G466" s="20"/>
      <c r="H466" s="20"/>
      <c r="I466" s="20"/>
    </row>
    <row r="467" spans="1:9" x14ac:dyDescent="0.25">
      <c r="A467" s="20"/>
      <c r="B467" s="20"/>
      <c r="C467" s="20"/>
      <c r="D467" s="20"/>
      <c r="E467" s="20"/>
      <c r="F467" s="20"/>
      <c r="G467" s="20"/>
      <c r="H467" s="20"/>
      <c r="I467" s="20"/>
    </row>
    <row r="468" spans="1:9" x14ac:dyDescent="0.25">
      <c r="A468" s="20"/>
      <c r="B468" s="20"/>
      <c r="C468" s="20"/>
      <c r="D468" s="20"/>
      <c r="E468" s="20"/>
      <c r="F468" s="20"/>
      <c r="G468" s="20"/>
      <c r="H468" s="20"/>
      <c r="I468" s="20"/>
    </row>
    <row r="469" spans="1:9" x14ac:dyDescent="0.25">
      <c r="A469" s="20"/>
      <c r="B469" s="20"/>
      <c r="C469" s="20"/>
      <c r="D469" s="20"/>
      <c r="E469" s="20"/>
      <c r="F469" s="20"/>
      <c r="G469" s="20"/>
      <c r="H469" s="20"/>
      <c r="I469" s="20"/>
    </row>
    <row r="470" spans="1:9" x14ac:dyDescent="0.25">
      <c r="A470" s="20"/>
      <c r="B470" s="20"/>
      <c r="C470" s="20"/>
      <c r="D470" s="20"/>
      <c r="E470" s="20"/>
      <c r="F470" s="20"/>
      <c r="G470" s="20"/>
      <c r="H470" s="20"/>
      <c r="I470" s="20"/>
    </row>
    <row r="471" spans="1:9" x14ac:dyDescent="0.25">
      <c r="A471" s="20"/>
      <c r="B471" s="20"/>
      <c r="C471" s="20"/>
      <c r="D471" s="20"/>
      <c r="E471" s="20"/>
      <c r="F471" s="20"/>
      <c r="G471" s="20"/>
      <c r="H471" s="20"/>
      <c r="I471" s="20"/>
    </row>
    <row r="472" spans="1:9" x14ac:dyDescent="0.25">
      <c r="A472" s="20"/>
      <c r="B472" s="20"/>
      <c r="C472" s="20"/>
      <c r="D472" s="20"/>
      <c r="E472" s="20"/>
      <c r="F472" s="20"/>
      <c r="G472" s="20"/>
      <c r="H472" s="20"/>
      <c r="I472" s="20"/>
    </row>
    <row r="473" spans="1:9" x14ac:dyDescent="0.25">
      <c r="A473" s="20"/>
      <c r="B473" s="20"/>
      <c r="C473" s="20"/>
      <c r="D473" s="20"/>
      <c r="E473" s="20"/>
      <c r="F473" s="20"/>
      <c r="G473" s="20"/>
      <c r="H473" s="20"/>
      <c r="I473" s="20"/>
    </row>
    <row r="474" spans="1:9" x14ac:dyDescent="0.25">
      <c r="A474" s="20"/>
      <c r="B474" s="20"/>
      <c r="C474" s="20"/>
      <c r="D474" s="20"/>
      <c r="E474" s="20"/>
      <c r="F474" s="20"/>
      <c r="G474" s="20"/>
      <c r="H474" s="20"/>
      <c r="I474" s="20"/>
    </row>
    <row r="475" spans="1:9" x14ac:dyDescent="0.25">
      <c r="A475" s="20"/>
      <c r="B475" s="20"/>
      <c r="C475" s="20"/>
      <c r="D475" s="20"/>
      <c r="E475" s="20"/>
      <c r="F475" s="20"/>
      <c r="G475" s="20"/>
      <c r="H475" s="20"/>
      <c r="I475" s="20"/>
    </row>
    <row r="476" spans="1:9" x14ac:dyDescent="0.25">
      <c r="A476" s="20"/>
      <c r="B476" s="20"/>
      <c r="C476" s="20"/>
      <c r="D476" s="20"/>
      <c r="E476" s="20"/>
      <c r="F476" s="20"/>
      <c r="G476" s="20"/>
      <c r="H476" s="20"/>
      <c r="I476" s="20"/>
    </row>
    <row r="477" spans="1:9" x14ac:dyDescent="0.25">
      <c r="A477" s="20"/>
      <c r="B477" s="20"/>
      <c r="C477" s="20"/>
      <c r="D477" s="20"/>
      <c r="E477" s="20"/>
      <c r="F477" s="20"/>
      <c r="G477" s="20"/>
      <c r="H477" s="20"/>
      <c r="I477" s="20"/>
    </row>
    <row r="478" spans="1:9" x14ac:dyDescent="0.25">
      <c r="A478" s="20"/>
      <c r="B478" s="20"/>
      <c r="C478" s="20"/>
      <c r="D478" s="20"/>
      <c r="E478" s="20"/>
      <c r="F478" s="20"/>
      <c r="G478" s="20"/>
      <c r="H478" s="20"/>
      <c r="I478" s="20"/>
    </row>
    <row r="479" spans="1:9" x14ac:dyDescent="0.25">
      <c r="A479" s="20"/>
      <c r="B479" s="20"/>
      <c r="C479" s="20"/>
      <c r="D479" s="20"/>
      <c r="E479" s="20"/>
      <c r="F479" s="20"/>
      <c r="G479" s="20"/>
      <c r="H479" s="20"/>
      <c r="I479" s="20"/>
    </row>
    <row r="480" spans="1:9" x14ac:dyDescent="0.25">
      <c r="A480" s="20"/>
      <c r="B480" s="20"/>
      <c r="C480" s="20"/>
      <c r="D480" s="20"/>
      <c r="E480" s="20"/>
      <c r="F480" s="20"/>
      <c r="G480" s="20"/>
      <c r="H480" s="20"/>
      <c r="I480" s="20"/>
    </row>
    <row r="481" spans="1:9" x14ac:dyDescent="0.25">
      <c r="A481" s="20"/>
      <c r="B481" s="20"/>
      <c r="C481" s="20"/>
      <c r="D481" s="20"/>
      <c r="E481" s="20"/>
      <c r="F481" s="20"/>
      <c r="G481" s="20"/>
      <c r="H481" s="20"/>
      <c r="I481" s="20"/>
    </row>
    <row r="482" spans="1:9" x14ac:dyDescent="0.25">
      <c r="A482" s="20"/>
      <c r="B482" s="20"/>
      <c r="C482" s="20"/>
      <c r="D482" s="20"/>
      <c r="E482" s="20"/>
      <c r="F482" s="20"/>
      <c r="G482" s="20"/>
      <c r="H482" s="20"/>
      <c r="I482" s="20"/>
    </row>
    <row r="483" spans="1:9" x14ac:dyDescent="0.25">
      <c r="A483" s="20"/>
      <c r="B483" s="20"/>
      <c r="C483" s="20"/>
      <c r="D483" s="20"/>
      <c r="E483" s="20"/>
      <c r="F483" s="20"/>
      <c r="G483" s="20"/>
      <c r="H483" s="20"/>
      <c r="I483" s="20"/>
    </row>
    <row r="484" spans="1:9" x14ac:dyDescent="0.25">
      <c r="A484" s="20"/>
      <c r="B484" s="20"/>
      <c r="C484" s="20"/>
      <c r="D484" s="20"/>
      <c r="E484" s="20"/>
      <c r="F484" s="20"/>
      <c r="G484" s="20"/>
      <c r="H484" s="20"/>
      <c r="I484" s="20"/>
    </row>
    <row r="485" spans="1:9" x14ac:dyDescent="0.25">
      <c r="A485" s="20"/>
      <c r="B485" s="20"/>
      <c r="C485" s="20"/>
      <c r="D485" s="20"/>
      <c r="E485" s="20"/>
      <c r="F485" s="20"/>
      <c r="G485" s="20"/>
      <c r="H485" s="20"/>
      <c r="I485" s="20"/>
    </row>
    <row r="486" spans="1:9" x14ac:dyDescent="0.25">
      <c r="A486" s="20"/>
      <c r="B486" s="20"/>
      <c r="C486" s="20"/>
      <c r="D486" s="20"/>
      <c r="E486" s="20"/>
      <c r="F486" s="20"/>
      <c r="G486" s="20"/>
      <c r="H486" s="20"/>
      <c r="I486" s="20"/>
    </row>
    <row r="487" spans="1:9" x14ac:dyDescent="0.25">
      <c r="A487" s="20"/>
      <c r="B487" s="20"/>
      <c r="C487" s="20"/>
      <c r="D487" s="20"/>
      <c r="E487" s="20"/>
      <c r="F487" s="20"/>
      <c r="G487" s="20"/>
      <c r="H487" s="20"/>
      <c r="I487" s="20"/>
    </row>
    <row r="488" spans="1:9" x14ac:dyDescent="0.25">
      <c r="A488" s="20"/>
      <c r="B488" s="20"/>
      <c r="C488" s="20"/>
      <c r="D488" s="20"/>
      <c r="E488" s="20"/>
      <c r="F488" s="20"/>
      <c r="G488" s="20"/>
      <c r="H488" s="20"/>
      <c r="I488" s="20"/>
    </row>
    <row r="489" spans="1:9" x14ac:dyDescent="0.25">
      <c r="A489" s="20"/>
      <c r="B489" s="20"/>
      <c r="C489" s="20"/>
      <c r="D489" s="20"/>
      <c r="E489" s="20"/>
      <c r="F489" s="20"/>
      <c r="G489" s="20"/>
      <c r="H489" s="20"/>
      <c r="I489" s="20"/>
    </row>
    <row r="490" spans="1:9" x14ac:dyDescent="0.25">
      <c r="A490" s="20"/>
      <c r="B490" s="20"/>
      <c r="C490" s="20"/>
      <c r="D490" s="20"/>
      <c r="E490" s="20"/>
      <c r="F490" s="20"/>
      <c r="G490" s="20"/>
      <c r="H490" s="20"/>
      <c r="I490" s="20"/>
    </row>
    <row r="491" spans="1:9" x14ac:dyDescent="0.25">
      <c r="A491" s="20"/>
      <c r="B491" s="20"/>
      <c r="C491" s="20"/>
      <c r="D491" s="20"/>
      <c r="E491" s="20"/>
      <c r="F491" s="20"/>
      <c r="G491" s="20"/>
      <c r="H491" s="20"/>
      <c r="I491" s="20"/>
    </row>
    <row r="492" spans="1:9" x14ac:dyDescent="0.25">
      <c r="A492" s="20"/>
      <c r="B492" s="20"/>
      <c r="C492" s="20"/>
      <c r="D492" s="20"/>
      <c r="E492" s="20"/>
      <c r="F492" s="20"/>
      <c r="G492" s="20"/>
      <c r="H492" s="20"/>
      <c r="I492" s="20"/>
    </row>
    <row r="493" spans="1:9" x14ac:dyDescent="0.25">
      <c r="A493" s="20"/>
      <c r="B493" s="20"/>
      <c r="C493" s="20"/>
      <c r="D493" s="20"/>
      <c r="E493" s="20"/>
      <c r="F493" s="20"/>
      <c r="G493" s="20"/>
      <c r="H493" s="20"/>
      <c r="I493" s="20"/>
    </row>
    <row r="494" spans="1:9" x14ac:dyDescent="0.25">
      <c r="A494" s="20"/>
      <c r="B494" s="20"/>
      <c r="C494" s="20"/>
      <c r="D494" s="20"/>
      <c r="E494" s="20"/>
      <c r="F494" s="20"/>
      <c r="G494" s="20"/>
      <c r="H494" s="20"/>
      <c r="I494" s="20"/>
    </row>
    <row r="495" spans="1:9" x14ac:dyDescent="0.25">
      <c r="A495" s="20"/>
      <c r="B495" s="20"/>
      <c r="C495" s="20"/>
      <c r="D495" s="20"/>
      <c r="E495" s="20"/>
      <c r="F495" s="20"/>
      <c r="G495" s="20"/>
      <c r="H495" s="20"/>
      <c r="I495" s="20"/>
    </row>
    <row r="496" spans="1:9" x14ac:dyDescent="0.25">
      <c r="A496" s="20"/>
      <c r="B496" s="20"/>
      <c r="C496" s="20"/>
      <c r="D496" s="20"/>
      <c r="E496" s="20"/>
      <c r="F496" s="20"/>
      <c r="G496" s="20"/>
      <c r="H496" s="20"/>
      <c r="I496" s="20"/>
    </row>
    <row r="497" spans="1:9" x14ac:dyDescent="0.25">
      <c r="A497" s="20"/>
      <c r="B497" s="20"/>
      <c r="C497" s="20"/>
      <c r="D497" s="20"/>
      <c r="E497" s="20"/>
      <c r="F497" s="20"/>
      <c r="G497" s="20"/>
      <c r="H497" s="20"/>
      <c r="I497" s="20"/>
    </row>
    <row r="498" spans="1:9" x14ac:dyDescent="0.25">
      <c r="A498" s="20"/>
      <c r="B498" s="20"/>
      <c r="C498" s="20"/>
      <c r="D498" s="20"/>
      <c r="E498" s="20"/>
      <c r="F498" s="20"/>
      <c r="G498" s="20"/>
      <c r="H498" s="20"/>
      <c r="I498" s="20"/>
    </row>
    <row r="499" spans="1:9" x14ac:dyDescent="0.25">
      <c r="A499" s="20"/>
      <c r="B499" s="20"/>
      <c r="C499" s="20"/>
      <c r="D499" s="20"/>
      <c r="E499" s="20"/>
      <c r="F499" s="20"/>
      <c r="G499" s="20"/>
      <c r="H499" s="20"/>
      <c r="I499" s="20"/>
    </row>
    <row r="500" spans="1:9" x14ac:dyDescent="0.25">
      <c r="A500" s="20"/>
      <c r="B500" s="20"/>
      <c r="C500" s="20"/>
      <c r="D500" s="20"/>
      <c r="E500" s="20"/>
      <c r="F500" s="20"/>
      <c r="G500" s="20"/>
      <c r="H500" s="20"/>
      <c r="I500" s="20"/>
    </row>
    <row r="501" spans="1:9" x14ac:dyDescent="0.25">
      <c r="A501" s="20"/>
      <c r="B501" s="20"/>
      <c r="C501" s="20"/>
      <c r="D501" s="20"/>
      <c r="E501" s="20"/>
      <c r="F501" s="20"/>
      <c r="G501" s="20"/>
      <c r="H501" s="20"/>
      <c r="I501" s="20"/>
    </row>
    <row r="502" spans="1:9" x14ac:dyDescent="0.25">
      <c r="A502" s="20"/>
      <c r="B502" s="20"/>
      <c r="C502" s="20"/>
      <c r="D502" s="20"/>
      <c r="E502" s="20"/>
      <c r="F502" s="20"/>
      <c r="G502" s="20"/>
      <c r="H502" s="20"/>
      <c r="I502" s="20"/>
    </row>
    <row r="503" spans="1:9" x14ac:dyDescent="0.25">
      <c r="A503" s="20"/>
      <c r="B503" s="20"/>
      <c r="C503" s="20"/>
      <c r="D503" s="20"/>
      <c r="E503" s="20"/>
      <c r="F503" s="20"/>
      <c r="G503" s="20"/>
      <c r="H503" s="20"/>
      <c r="I503" s="20"/>
    </row>
    <row r="504" spans="1:9" x14ac:dyDescent="0.25">
      <c r="A504" s="20"/>
      <c r="B504" s="20"/>
      <c r="C504" s="20"/>
      <c r="D504" s="20"/>
      <c r="E504" s="20"/>
      <c r="F504" s="20"/>
      <c r="G504" s="20"/>
      <c r="H504" s="20"/>
      <c r="I504" s="20"/>
    </row>
    <row r="505" spans="1:9" x14ac:dyDescent="0.25">
      <c r="A505" s="20"/>
      <c r="B505" s="20"/>
      <c r="C505" s="20"/>
      <c r="D505" s="20"/>
      <c r="E505" s="20"/>
      <c r="F505" s="20"/>
      <c r="G505" s="20"/>
      <c r="H505" s="20"/>
      <c r="I505" s="20"/>
    </row>
    <row r="506" spans="1:9" x14ac:dyDescent="0.25">
      <c r="A506" s="20"/>
      <c r="B506" s="20"/>
      <c r="C506" s="20"/>
      <c r="D506" s="20"/>
      <c r="E506" s="20"/>
      <c r="F506" s="20"/>
      <c r="G506" s="20"/>
      <c r="H506" s="20"/>
      <c r="I506" s="20"/>
    </row>
    <row r="507" spans="1:9" x14ac:dyDescent="0.25">
      <c r="A507" s="20"/>
      <c r="B507" s="20"/>
      <c r="C507" s="20"/>
      <c r="D507" s="20"/>
      <c r="E507" s="20"/>
      <c r="F507" s="20"/>
      <c r="G507" s="20"/>
      <c r="H507" s="20"/>
      <c r="I507" s="20"/>
    </row>
    <row r="508" spans="1:9" x14ac:dyDescent="0.25">
      <c r="A508" s="20"/>
      <c r="B508" s="20"/>
      <c r="C508" s="20"/>
      <c r="D508" s="20"/>
      <c r="E508" s="20"/>
      <c r="F508" s="20"/>
      <c r="G508" s="20"/>
      <c r="H508" s="20"/>
      <c r="I508" s="20"/>
    </row>
    <row r="509" spans="1:9" x14ac:dyDescent="0.25">
      <c r="A509" s="20"/>
      <c r="B509" s="20"/>
      <c r="C509" s="20"/>
      <c r="D509" s="20"/>
      <c r="E509" s="20"/>
      <c r="F509" s="20"/>
      <c r="G509" s="20"/>
      <c r="H509" s="20"/>
      <c r="I509" s="20"/>
    </row>
    <row r="510" spans="1:9" x14ac:dyDescent="0.25">
      <c r="A510" s="20"/>
      <c r="B510" s="20"/>
      <c r="C510" s="20"/>
      <c r="D510" s="20"/>
      <c r="E510" s="20"/>
      <c r="F510" s="20"/>
      <c r="G510" s="20"/>
      <c r="H510" s="20"/>
      <c r="I510" s="20"/>
    </row>
    <row r="511" spans="1:9" x14ac:dyDescent="0.25">
      <c r="A511" s="20"/>
      <c r="B511" s="20"/>
      <c r="C511" s="20"/>
      <c r="D511" s="20"/>
      <c r="E511" s="20"/>
      <c r="F511" s="20"/>
      <c r="G511" s="20"/>
      <c r="H511" s="20"/>
      <c r="I511" s="20"/>
    </row>
    <row r="512" spans="1:9" x14ac:dyDescent="0.25">
      <c r="A512" s="20"/>
      <c r="B512" s="20"/>
      <c r="C512" s="20"/>
      <c r="D512" s="20"/>
      <c r="E512" s="20"/>
      <c r="F512" s="20"/>
      <c r="G512" s="20"/>
      <c r="H512" s="20"/>
      <c r="I512" s="20"/>
    </row>
    <row r="513" spans="1:9" x14ac:dyDescent="0.25">
      <c r="A513" s="20"/>
      <c r="B513" s="20"/>
      <c r="C513" s="20"/>
      <c r="D513" s="20"/>
      <c r="E513" s="20"/>
      <c r="F513" s="20"/>
      <c r="G513" s="20"/>
      <c r="H513" s="20"/>
      <c r="I513" s="20"/>
    </row>
    <row r="514" spans="1:9" x14ac:dyDescent="0.25">
      <c r="A514" s="20"/>
      <c r="B514" s="20"/>
      <c r="C514" s="20"/>
      <c r="D514" s="20"/>
      <c r="E514" s="20"/>
      <c r="F514" s="20"/>
      <c r="G514" s="20"/>
      <c r="H514" s="20"/>
      <c r="I514" s="20"/>
    </row>
    <row r="515" spans="1:9" x14ac:dyDescent="0.25">
      <c r="A515" s="20"/>
      <c r="B515" s="20"/>
      <c r="C515" s="20"/>
      <c r="D515" s="20"/>
      <c r="E515" s="20"/>
      <c r="F515" s="20"/>
      <c r="G515" s="20"/>
      <c r="H515" s="20"/>
      <c r="I515" s="20"/>
    </row>
    <row r="516" spans="1:9" x14ac:dyDescent="0.25">
      <c r="A516" s="20"/>
      <c r="B516" s="20"/>
      <c r="C516" s="20"/>
      <c r="D516" s="20"/>
      <c r="E516" s="20"/>
      <c r="F516" s="20"/>
      <c r="G516" s="20"/>
      <c r="H516" s="20"/>
      <c r="I516" s="20"/>
    </row>
    <row r="517" spans="1:9" x14ac:dyDescent="0.25">
      <c r="A517" s="20"/>
      <c r="B517" s="20"/>
      <c r="C517" s="20"/>
      <c r="D517" s="20"/>
      <c r="E517" s="20"/>
      <c r="F517" s="20"/>
      <c r="G517" s="20"/>
      <c r="H517" s="20"/>
      <c r="I517" s="20"/>
    </row>
    <row r="518" spans="1:9" x14ac:dyDescent="0.25">
      <c r="A518" s="20"/>
      <c r="B518" s="20"/>
      <c r="C518" s="20"/>
      <c r="D518" s="20"/>
      <c r="E518" s="20"/>
      <c r="F518" s="20"/>
      <c r="G518" s="20"/>
      <c r="H518" s="20"/>
      <c r="I518" s="20"/>
    </row>
    <row r="519" spans="1:9" x14ac:dyDescent="0.25">
      <c r="A519" s="20"/>
      <c r="B519" s="20"/>
      <c r="C519" s="20"/>
      <c r="D519" s="20"/>
      <c r="E519" s="20"/>
      <c r="F519" s="20"/>
      <c r="G519" s="20"/>
      <c r="H519" s="20"/>
      <c r="I519" s="20"/>
    </row>
    <row r="520" spans="1:9" x14ac:dyDescent="0.25">
      <c r="A520" s="20"/>
      <c r="B520" s="20"/>
      <c r="C520" s="20"/>
      <c r="D520" s="20"/>
      <c r="E520" s="20"/>
      <c r="F520" s="20"/>
      <c r="G520" s="20"/>
      <c r="H520" s="20"/>
      <c r="I520" s="20"/>
    </row>
    <row r="521" spans="1:9" x14ac:dyDescent="0.25">
      <c r="A521" s="20"/>
      <c r="B521" s="20"/>
      <c r="C521" s="20"/>
      <c r="D521" s="20"/>
      <c r="E521" s="20"/>
      <c r="F521" s="20"/>
      <c r="G521" s="20"/>
      <c r="H521" s="20"/>
      <c r="I521" s="20"/>
    </row>
    <row r="522" spans="1:9" x14ac:dyDescent="0.25">
      <c r="A522" s="20"/>
      <c r="B522" s="20"/>
      <c r="C522" s="20"/>
      <c r="D522" s="20"/>
      <c r="E522" s="20"/>
      <c r="F522" s="20"/>
      <c r="G522" s="20"/>
      <c r="H522" s="20"/>
      <c r="I522" s="20"/>
    </row>
    <row r="523" spans="1:9" x14ac:dyDescent="0.25">
      <c r="A523" s="20"/>
      <c r="B523" s="20"/>
      <c r="C523" s="20"/>
      <c r="D523" s="20"/>
      <c r="E523" s="20"/>
      <c r="F523" s="20"/>
      <c r="G523" s="20"/>
      <c r="H523" s="20"/>
      <c r="I523" s="20"/>
    </row>
    <row r="524" spans="1:9" x14ac:dyDescent="0.25">
      <c r="A524" s="20"/>
      <c r="B524" s="20"/>
      <c r="C524" s="20"/>
      <c r="D524" s="20"/>
      <c r="E524" s="20"/>
      <c r="F524" s="20"/>
      <c r="G524" s="20"/>
      <c r="H524" s="20"/>
      <c r="I524" s="20"/>
    </row>
    <row r="525" spans="1:9" x14ac:dyDescent="0.25">
      <c r="A525" s="20"/>
      <c r="B525" s="20"/>
      <c r="C525" s="20"/>
      <c r="D525" s="20"/>
      <c r="E525" s="20"/>
      <c r="F525" s="20"/>
      <c r="G525" s="20"/>
      <c r="H525" s="20"/>
      <c r="I525" s="20"/>
    </row>
    <row r="526" spans="1:9" x14ac:dyDescent="0.25">
      <c r="A526" s="20"/>
      <c r="B526" s="20"/>
      <c r="C526" s="20"/>
      <c r="D526" s="20"/>
      <c r="E526" s="20"/>
      <c r="F526" s="20"/>
      <c r="G526" s="20"/>
      <c r="H526" s="20"/>
      <c r="I526" s="20"/>
    </row>
    <row r="527" spans="1:9" x14ac:dyDescent="0.25">
      <c r="A527" s="20"/>
      <c r="B527" s="20"/>
      <c r="C527" s="20"/>
      <c r="D527" s="20"/>
      <c r="E527" s="20"/>
      <c r="F527" s="20"/>
      <c r="G527" s="20"/>
      <c r="H527" s="20"/>
      <c r="I527" s="20"/>
    </row>
    <row r="528" spans="1:9" x14ac:dyDescent="0.25">
      <c r="A528" s="20"/>
      <c r="B528" s="20"/>
      <c r="C528" s="20"/>
      <c r="D528" s="20"/>
      <c r="E528" s="20"/>
      <c r="F528" s="20"/>
      <c r="G528" s="20"/>
      <c r="H528" s="20"/>
      <c r="I528" s="20"/>
    </row>
    <row r="529" spans="1:9" x14ac:dyDescent="0.25">
      <c r="A529" s="20"/>
      <c r="B529" s="20"/>
      <c r="C529" s="20"/>
      <c r="D529" s="20"/>
      <c r="E529" s="20"/>
      <c r="F529" s="20"/>
      <c r="G529" s="20"/>
      <c r="H529" s="20"/>
      <c r="I529" s="20"/>
    </row>
    <row r="530" spans="1:9" x14ac:dyDescent="0.25">
      <c r="A530" s="20"/>
      <c r="B530" s="20"/>
      <c r="C530" s="20"/>
      <c r="D530" s="20"/>
      <c r="E530" s="20"/>
      <c r="F530" s="20"/>
      <c r="G530" s="20"/>
      <c r="H530" s="20"/>
      <c r="I530" s="20"/>
    </row>
    <row r="531" spans="1:9" x14ac:dyDescent="0.25">
      <c r="A531" s="20"/>
      <c r="B531" s="20"/>
      <c r="C531" s="20"/>
      <c r="D531" s="20"/>
      <c r="E531" s="20"/>
      <c r="F531" s="20"/>
      <c r="G531" s="20"/>
      <c r="H531" s="20"/>
      <c r="I531" s="20"/>
    </row>
    <row r="532" spans="1:9" x14ac:dyDescent="0.25">
      <c r="A532" s="20"/>
      <c r="B532" s="20"/>
      <c r="C532" s="20"/>
      <c r="D532" s="20"/>
      <c r="E532" s="20"/>
      <c r="F532" s="20"/>
      <c r="G532" s="20"/>
      <c r="H532" s="20"/>
      <c r="I532" s="20"/>
    </row>
    <row r="533" spans="1:9" x14ac:dyDescent="0.25">
      <c r="A533" s="20"/>
      <c r="B533" s="20"/>
      <c r="C533" s="20"/>
      <c r="D533" s="20"/>
      <c r="E533" s="20"/>
      <c r="F533" s="20"/>
      <c r="G533" s="20"/>
      <c r="H533" s="20"/>
      <c r="I533" s="20"/>
    </row>
    <row r="534" spans="1:9" x14ac:dyDescent="0.25">
      <c r="A534" s="20"/>
      <c r="B534" s="20"/>
      <c r="C534" s="20"/>
      <c r="D534" s="20"/>
      <c r="E534" s="20"/>
      <c r="F534" s="20"/>
      <c r="G534" s="20"/>
      <c r="H534" s="20"/>
      <c r="I534" s="20"/>
    </row>
    <row r="535" spans="1:9" x14ac:dyDescent="0.25">
      <c r="A535" s="20"/>
      <c r="B535" s="20"/>
      <c r="C535" s="20"/>
      <c r="D535" s="20"/>
      <c r="E535" s="20"/>
      <c r="F535" s="20"/>
      <c r="G535" s="20"/>
      <c r="H535" s="20"/>
      <c r="I535" s="20"/>
    </row>
    <row r="536" spans="1:9" x14ac:dyDescent="0.25">
      <c r="A536" s="20"/>
      <c r="B536" s="20"/>
      <c r="C536" s="20"/>
      <c r="D536" s="20"/>
      <c r="E536" s="20"/>
      <c r="F536" s="20"/>
      <c r="G536" s="20"/>
      <c r="H536" s="20"/>
      <c r="I536" s="20"/>
    </row>
    <row r="537" spans="1:9" x14ac:dyDescent="0.25">
      <c r="A537" s="20"/>
      <c r="B537" s="20"/>
      <c r="C537" s="20"/>
      <c r="D537" s="20"/>
      <c r="E537" s="20"/>
      <c r="F537" s="20"/>
      <c r="G537" s="20"/>
      <c r="H537" s="20"/>
      <c r="I537" s="20"/>
    </row>
    <row r="538" spans="1:9" x14ac:dyDescent="0.25">
      <c r="A538" s="20"/>
      <c r="B538" s="20"/>
      <c r="C538" s="20"/>
      <c r="D538" s="20"/>
      <c r="E538" s="20"/>
      <c r="F538" s="20"/>
      <c r="G538" s="20"/>
      <c r="H538" s="20"/>
      <c r="I538" s="20"/>
    </row>
    <row r="539" spans="1:9" x14ac:dyDescent="0.25">
      <c r="A539" s="20"/>
      <c r="B539" s="20"/>
      <c r="C539" s="20"/>
      <c r="D539" s="20"/>
      <c r="E539" s="20"/>
      <c r="F539" s="20"/>
      <c r="G539" s="20"/>
      <c r="H539" s="20"/>
      <c r="I539" s="20"/>
    </row>
  </sheetData>
  <autoFilter ref="C4:Q458" xr:uid="{39E4E7FB-F2E2-48D0-9197-691480201DCE}"/>
  <mergeCells count="3">
    <mergeCell ref="A1:L1"/>
    <mergeCell ref="A2:L2"/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labores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Kaserin Elizondo</dc:creator>
  <cp:lastModifiedBy>Kaserin Elizondo</cp:lastModifiedBy>
  <dcterms:created xsi:type="dcterms:W3CDTF">2026-06-24T17:00:00Z</dcterms:created>
  <dcterms:modified xsi:type="dcterms:W3CDTF">2026-06-24T17:00:35Z</dcterms:modified>
</cp:coreProperties>
</file>